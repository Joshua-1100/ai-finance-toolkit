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ocuments\Claude Projects\ai-finance-toolkit\week03-add-judgment-recon\data\"/>
    </mc:Choice>
  </mc:AlternateContent>
  <xr:revisionPtr revIDLastSave="0" documentId="13_ncr:1_{BC2850EF-6030-4233-9AF9-005BF65C11C2}" xr6:coauthVersionLast="47" xr6:coauthVersionMax="47" xr10:uidLastSave="{00000000-0000-0000-0000-000000000000}"/>
  <bookViews>
    <workbookView xWindow="-108" yWindow="-108" windowWidth="23256" windowHeight="12456" xr2:uid="{306139A5-9E9D-40EF-B908-35CB9A994A67}"/>
  </bookViews>
  <sheets>
    <sheet name="Sheet1" sheetId="1" r:id="rId1"/>
  </sheets>
  <definedNames>
    <definedName name="_xlnm._FilterDatabase" localSheetId="0" hidden="1">Sheet1!$A$1:$J$206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" i="1" l="1"/>
  <c r="M5" i="1"/>
  <c r="L5" i="1"/>
  <c r="L4" i="1"/>
  <c r="L3" i="1"/>
  <c r="M4" i="1"/>
  <c r="M3" i="1"/>
  <c r="N4" i="1"/>
  <c r="N3" i="1"/>
  <c r="H208" i="1"/>
  <c r="B208" i="1"/>
  <c r="H209" i="1" s="1"/>
</calcChain>
</file>

<file path=xl/sharedStrings.xml><?xml version="1.0" encoding="utf-8"?>
<sst xmlns="http://schemas.openxmlformats.org/spreadsheetml/2006/main" count="621" uniqueCount="395">
  <si>
    <t>posted_date</t>
  </si>
  <si>
    <t>posted_amount</t>
  </si>
  <si>
    <t>messy_memo</t>
  </si>
  <si>
    <t>Inv 493614</t>
  </si>
  <si>
    <t>Inv 7739318</t>
  </si>
  <si>
    <t>Inv 15</t>
  </si>
  <si>
    <t>Inv 48</t>
  </si>
  <si>
    <t>Inv 923782773</t>
  </si>
  <si>
    <t>Inv 520733</t>
  </si>
  <si>
    <t>Inv 583</t>
  </si>
  <si>
    <t>Inv 80446574</t>
  </si>
  <si>
    <t>Inv 113657245</t>
  </si>
  <si>
    <t>Inv 206948982</t>
  </si>
  <si>
    <t>Inv 86</t>
  </si>
  <si>
    <t>Inv 907357</t>
  </si>
  <si>
    <t>Inv 481</t>
  </si>
  <si>
    <t>Inv 4135711071</t>
  </si>
  <si>
    <t>Inv 47805</t>
  </si>
  <si>
    <t>Inv 828</t>
  </si>
  <si>
    <t>Inv 14296238</t>
  </si>
  <si>
    <t>I14422846</t>
  </si>
  <si>
    <t>Revooh</t>
  </si>
  <si>
    <t>Inv 78</t>
  </si>
  <si>
    <t>INV66538</t>
  </si>
  <si>
    <t>Inv 5286418</t>
  </si>
  <si>
    <t>Inv 3530928512</t>
  </si>
  <si>
    <t>Inv 620520507</t>
  </si>
  <si>
    <t>Inv 237224</t>
  </si>
  <si>
    <t>Inv 1627885</t>
  </si>
  <si>
    <t>Inv 5336651986</t>
  </si>
  <si>
    <t>Inv 97002</t>
  </si>
  <si>
    <t>Inv 3324632214</t>
  </si>
  <si>
    <t>Inv 420257</t>
  </si>
  <si>
    <t>Inv 357929687</t>
  </si>
  <si>
    <t>Inv 704</t>
  </si>
  <si>
    <t>Inv 5395538187</t>
  </si>
  <si>
    <t>Inv 5228865</t>
  </si>
  <si>
    <t>Inv 68</t>
  </si>
  <si>
    <t>Inv 7384672007</t>
  </si>
  <si>
    <t>Inv 657534537</t>
  </si>
  <si>
    <t>Inv 445452889</t>
  </si>
  <si>
    <t>Inv 358830740</t>
  </si>
  <si>
    <t>Inv 54</t>
  </si>
  <si>
    <t>Inv 9287283</t>
  </si>
  <si>
    <t>Inv 300</t>
  </si>
  <si>
    <t>Inv 1336</t>
  </si>
  <si>
    <t>Inv 231</t>
  </si>
  <si>
    <t>Inv 62</t>
  </si>
  <si>
    <t>Inv 222212105</t>
  </si>
  <si>
    <t>Inv 6543</t>
  </si>
  <si>
    <t>Inv 393</t>
  </si>
  <si>
    <t>Inv 2802715293</t>
  </si>
  <si>
    <t>Inv 32</t>
  </si>
  <si>
    <t>Inv 664609974</t>
  </si>
  <si>
    <t>#721637</t>
  </si>
  <si>
    <t>Inv 55613</t>
  </si>
  <si>
    <t>Inv 9148</t>
  </si>
  <si>
    <t>Inv 628</t>
  </si>
  <si>
    <t>Inv 77307</t>
  </si>
  <si>
    <t>Inv 875200</t>
  </si>
  <si>
    <t>Inv 948</t>
  </si>
  <si>
    <t>Inv 614510</t>
  </si>
  <si>
    <t>Inv 3581706</t>
  </si>
  <si>
    <t>Inv 8905550274</t>
  </si>
  <si>
    <t>Inv 79022</t>
  </si>
  <si>
    <t>Inv 1370804</t>
  </si>
  <si>
    <t>Inv 3626</t>
  </si>
  <si>
    <t>Inv 538393751</t>
  </si>
  <si>
    <t>Inv 883478</t>
  </si>
  <si>
    <t>Inv 85</t>
  </si>
  <si>
    <t>Inv 9167</t>
  </si>
  <si>
    <t>Inv 596275</t>
  </si>
  <si>
    <t>Inv 97820</t>
  </si>
  <si>
    <t>Inv 646630687</t>
  </si>
  <si>
    <t>Inv 207775816</t>
  </si>
  <si>
    <t>Inv 56</t>
  </si>
  <si>
    <t>#4453</t>
  </si>
  <si>
    <t>Inv 6361942</t>
  </si>
  <si>
    <t>Inv 593280</t>
  </si>
  <si>
    <t>Inv 57255988</t>
  </si>
  <si>
    <t>Inv 193279</t>
  </si>
  <si>
    <t>I59605231</t>
  </si>
  <si>
    <t>Inv 39296</t>
  </si>
  <si>
    <t>Inv 81059758</t>
  </si>
  <si>
    <t>Inv 33075162</t>
  </si>
  <si>
    <t>Inv 57</t>
  </si>
  <si>
    <t>Inv 1046402447</t>
  </si>
  <si>
    <t>Inv 77</t>
  </si>
  <si>
    <t>Inv 52</t>
  </si>
  <si>
    <t>Inv 844848</t>
  </si>
  <si>
    <t>Inv 9304210</t>
  </si>
  <si>
    <t>Inv 612221210</t>
  </si>
  <si>
    <t>Inv 546194</t>
  </si>
  <si>
    <t>Inv 49884424</t>
  </si>
  <si>
    <t>I240</t>
  </si>
  <si>
    <t>Inv 94863628</t>
  </si>
  <si>
    <t>Inv 6293250</t>
  </si>
  <si>
    <t>Eromllif</t>
  </si>
  <si>
    <t>Inv 6739046</t>
  </si>
  <si>
    <t>I64906</t>
  </si>
  <si>
    <t>Inv 989841</t>
  </si>
  <si>
    <t>Inv 45</t>
  </si>
  <si>
    <t>Inv 665579</t>
  </si>
  <si>
    <t>Inv 5123732</t>
  </si>
  <si>
    <t>Inv 8899704</t>
  </si>
  <si>
    <t>Inv 35476</t>
  </si>
  <si>
    <t>I5320341</t>
  </si>
  <si>
    <t>Inv 336</t>
  </si>
  <si>
    <t>Inv 802133914</t>
  </si>
  <si>
    <t>Inv 986196640</t>
  </si>
  <si>
    <t>Inv 3550159</t>
  </si>
  <si>
    <t>Inv 4452904499</t>
  </si>
  <si>
    <t>Inv 727480323</t>
  </si>
  <si>
    <t>Inv 9893433</t>
  </si>
  <si>
    <t>Inv 24</t>
  </si>
  <si>
    <t>Inv 36</t>
  </si>
  <si>
    <t>Inv 6335253</t>
  </si>
  <si>
    <t>Inv 134006</t>
  </si>
  <si>
    <t>Inv 21</t>
  </si>
  <si>
    <t>Inv 43135370</t>
  </si>
  <si>
    <t>INV9785</t>
  </si>
  <si>
    <t>Inv 8976</t>
  </si>
  <si>
    <t>Inv 16533</t>
  </si>
  <si>
    <t>Inv 96</t>
  </si>
  <si>
    <t>Inv 3267</t>
  </si>
  <si>
    <t>Inv 94</t>
  </si>
  <si>
    <t>#3885158</t>
  </si>
  <si>
    <t>I584292</t>
  </si>
  <si>
    <t>Inv 783877</t>
  </si>
  <si>
    <t>Inv 1523</t>
  </si>
  <si>
    <t>Inv 716066494</t>
  </si>
  <si>
    <t>Inv 1201968416</t>
  </si>
  <si>
    <t>Inv 1686448480</t>
  </si>
  <si>
    <t>Inv 73919</t>
  </si>
  <si>
    <t>Inv 89</t>
  </si>
  <si>
    <t>Inv 196913</t>
  </si>
  <si>
    <t>Inv 62590921</t>
  </si>
  <si>
    <t>Inv 67641</t>
  </si>
  <si>
    <t>Inv 8303</t>
  </si>
  <si>
    <t>#439</t>
  </si>
  <si>
    <t>Inv 83</t>
  </si>
  <si>
    <t>Inv 158</t>
  </si>
  <si>
    <t>Inv 640209</t>
  </si>
  <si>
    <t>Inv 790839662</t>
  </si>
  <si>
    <t>Inv 90912700</t>
  </si>
  <si>
    <t>Inv 1983257341</t>
  </si>
  <si>
    <t>Inv 608814</t>
  </si>
  <si>
    <t>Inv 79774272</t>
  </si>
  <si>
    <t>Inv 94404</t>
  </si>
  <si>
    <t>Inv 9685470</t>
  </si>
  <si>
    <t>Inv 700</t>
  </si>
  <si>
    <t>Inv 2091</t>
  </si>
  <si>
    <t>INV54697</t>
  </si>
  <si>
    <t>I644443</t>
  </si>
  <si>
    <t>Nedib</t>
  </si>
  <si>
    <t>Inv 931026161</t>
  </si>
  <si>
    <t>I582</t>
  </si>
  <si>
    <t>#9562</t>
  </si>
  <si>
    <t>Inv 82</t>
  </si>
  <si>
    <t>Inv 667</t>
  </si>
  <si>
    <t>Inv 8920030031</t>
  </si>
  <si>
    <t>Inv 40</t>
  </si>
  <si>
    <t>Inv 4134</t>
  </si>
  <si>
    <t>Inv 8701299479</t>
  </si>
  <si>
    <t>Inv 8987</t>
  </si>
  <si>
    <t>Inv 6030</t>
  </si>
  <si>
    <t>gl_date</t>
  </si>
  <si>
    <t>amount</t>
  </si>
  <si>
    <t>main_memo</t>
  </si>
  <si>
    <t>line_memo</t>
  </si>
  <si>
    <t>Guava Eisenhower</t>
  </si>
  <si>
    <t>Zadkiel Taft</t>
  </si>
  <si>
    <t>Okra Roosevelt</t>
  </si>
  <si>
    <t>Carrot Eisenhower</t>
  </si>
  <si>
    <t>Raspberry Pierce</t>
  </si>
  <si>
    <t>Papaya Grant</t>
  </si>
  <si>
    <t>Fig Monroe</t>
  </si>
  <si>
    <t>Shallot Kennedy</t>
  </si>
  <si>
    <t>Elderberry Arthur</t>
  </si>
  <si>
    <t>Raguel Jackson</t>
  </si>
  <si>
    <t>Radish McKinley</t>
  </si>
  <si>
    <t>Selaphiel Lincoln</t>
  </si>
  <si>
    <t>Raspberry Buchanan</t>
  </si>
  <si>
    <t>Remiel Nixon</t>
  </si>
  <si>
    <t>Kiwi Taylor</t>
  </si>
  <si>
    <t>Raphael Clinton</t>
  </si>
  <si>
    <t>Kale Garfield</t>
  </si>
  <si>
    <t>Carrot Kennedy</t>
  </si>
  <si>
    <t>Jagged Nixon</t>
  </si>
  <si>
    <t>Inv 00850762</t>
  </si>
  <si>
    <t>Spinach Hoover</t>
  </si>
  <si>
    <t>Zadkiel Jefferson</t>
  </si>
  <si>
    <t>Raspberry Adams</t>
  </si>
  <si>
    <t>Metatron Fillmore</t>
  </si>
  <si>
    <t>Cabbage Reagan</t>
  </si>
  <si>
    <t>Tangerine Coolidge</t>
  </si>
  <si>
    <t>Zadkiel McKinley</t>
  </si>
  <si>
    <t>Sycamore Pierce</t>
  </si>
  <si>
    <t>Cabbage Clinton</t>
  </si>
  <si>
    <t>Selaphiel Pierce</t>
  </si>
  <si>
    <t>Banana Clinton</t>
  </si>
  <si>
    <t>Cherry Hoover</t>
  </si>
  <si>
    <t>Honeydew Eisenhower</t>
  </si>
  <si>
    <t>Raphael Carter</t>
  </si>
  <si>
    <t>Raguel Truman</t>
  </si>
  <si>
    <t>Celery Adams</t>
  </si>
  <si>
    <t>Cherry Madison</t>
  </si>
  <si>
    <t>Ariel Truman</t>
  </si>
  <si>
    <t>Harry40</t>
  </si>
  <si>
    <t>Inv 3653312</t>
  </si>
  <si>
    <t>Birch Biden</t>
  </si>
  <si>
    <t>Parsnip Nixon</t>
  </si>
  <si>
    <t>Elderberry Washington</t>
  </si>
  <si>
    <t>Grover1747362029</t>
  </si>
  <si>
    <t>Carrot Nixon</t>
  </si>
  <si>
    <t>Guava Polk</t>
  </si>
  <si>
    <t>Mango McKinley</t>
  </si>
  <si>
    <t>Cherry Taft</t>
  </si>
  <si>
    <t>Camael Washington</t>
  </si>
  <si>
    <t>Artichoke Ford</t>
  </si>
  <si>
    <t>Quince Pierce</t>
  </si>
  <si>
    <t>Ariel Clinton</t>
  </si>
  <si>
    <t>Sandalphon Bush</t>
  </si>
  <si>
    <t>Kiwi Harrison</t>
  </si>
  <si>
    <t>Spinach Harding</t>
  </si>
  <si>
    <t>Gladly Roosevelt</t>
  </si>
  <si>
    <t>Inv 000009785</t>
  </si>
  <si>
    <t>Openly Adams</t>
  </si>
  <si>
    <t>Inv 00059605231</t>
  </si>
  <si>
    <t>Wearily Hayes</t>
  </si>
  <si>
    <t>Inv 000004453</t>
  </si>
  <si>
    <t>Radish Clinton</t>
  </si>
  <si>
    <t>Faintly Jackson</t>
  </si>
  <si>
    <t>Inv 00000721637</t>
  </si>
  <si>
    <t>Uriel Bush</t>
  </si>
  <si>
    <t>Prudent Arthur</t>
  </si>
  <si>
    <t>Inv 00439</t>
  </si>
  <si>
    <t>Jophiel Obama</t>
  </si>
  <si>
    <t>Fig Washington</t>
  </si>
  <si>
    <t>Barachiel Eisenhower</t>
  </si>
  <si>
    <t>Gladly Arthur</t>
  </si>
  <si>
    <t>Inv 00054697</t>
  </si>
  <si>
    <t>Honeydew Carter</t>
  </si>
  <si>
    <t>Maple Jefferson</t>
  </si>
  <si>
    <t>Primofiori Carter</t>
  </si>
  <si>
    <t>Lisbon Pierce</t>
  </si>
  <si>
    <t>Cedar Washington</t>
  </si>
  <si>
    <t>Remiel Roosevelt</t>
  </si>
  <si>
    <t>Azrael Eisenhower</t>
  </si>
  <si>
    <t>Damson Clinton</t>
  </si>
  <si>
    <t>Stubborn Taft</t>
  </si>
  <si>
    <t>Inv 0079825</t>
  </si>
  <si>
    <t>Okra Jefferson</t>
  </si>
  <si>
    <t>Rutabaga Grant</t>
  </si>
  <si>
    <t>Elderberry Cleveland</t>
  </si>
  <si>
    <t>Okra Truman</t>
  </si>
  <si>
    <t>Solemn Clinton</t>
  </si>
  <si>
    <t>Inv 0000014422846</t>
  </si>
  <si>
    <t>Sycamore Cleveland</t>
  </si>
  <si>
    <t>Celery Fillmore</t>
  </si>
  <si>
    <t>Raguel Bush</t>
  </si>
  <si>
    <t>Nectarine Grant</t>
  </si>
  <si>
    <t>Papaya Roosevelt</t>
  </si>
  <si>
    <t>Millard8517221930834</t>
  </si>
  <si>
    <t>Ariel Wilson</t>
  </si>
  <si>
    <t>Shallot Grant</t>
  </si>
  <si>
    <t>Carrot Grant</t>
  </si>
  <si>
    <t>Tangerine Kennedy</t>
  </si>
  <si>
    <t>Radish Eisenhower</t>
  </si>
  <si>
    <t>Jophiel Taylor</t>
  </si>
  <si>
    <t>Curious Biden</t>
  </si>
  <si>
    <t>Inv 000240</t>
  </si>
  <si>
    <t>Eureka Buchanan</t>
  </si>
  <si>
    <t>Fennel Nixon</t>
  </si>
  <si>
    <t>Poplar Carter</t>
  </si>
  <si>
    <t>Rutabaga Adams</t>
  </si>
  <si>
    <t>James27588</t>
  </si>
  <si>
    <t>Papaya Fillmore</t>
  </si>
  <si>
    <t>Cabbage Grant</t>
  </si>
  <si>
    <t>Birch Jefferson</t>
  </si>
  <si>
    <t>Apple Hoover</t>
  </si>
  <si>
    <t>Kale Truman</t>
  </si>
  <si>
    <t>Primofiori Bush</t>
  </si>
  <si>
    <t>Happy Carter</t>
  </si>
  <si>
    <t>Inv 0000066538</t>
  </si>
  <si>
    <t>Sandalphon Carter</t>
  </si>
  <si>
    <t>Harvey Polk</t>
  </si>
  <si>
    <t>Gladly Eisenhower</t>
  </si>
  <si>
    <t>Inv 003885158</t>
  </si>
  <si>
    <t>Magnolia Bush</t>
  </si>
  <si>
    <t>Metatron Eisenhower</t>
  </si>
  <si>
    <t>Sandalphon Buchanan</t>
  </si>
  <si>
    <t>Turnip Obama</t>
  </si>
  <si>
    <t>Ariel Taft</t>
  </si>
  <si>
    <t>Michael Madison</t>
  </si>
  <si>
    <t>Papaya Polk</t>
  </si>
  <si>
    <t>Spruce Roosevelt</t>
  </si>
  <si>
    <t>Artichoke Cleveland</t>
  </si>
  <si>
    <t>Guava Obama</t>
  </si>
  <si>
    <t>Quince Arthur</t>
  </si>
  <si>
    <t>Dleifrag Noskcaj</t>
  </si>
  <si>
    <t>Retrac</t>
  </si>
  <si>
    <t>Chester6604587446176</t>
  </si>
  <si>
    <t>Barachiel Madison</t>
  </si>
  <si>
    <t>Remiel Wilson</t>
  </si>
  <si>
    <t>Damson Pierce</t>
  </si>
  <si>
    <t>Elderberry Truman</t>
  </si>
  <si>
    <t>Raguel Buchanan</t>
  </si>
  <si>
    <t>Raguel Washington</t>
  </si>
  <si>
    <t>Brittle Ford</t>
  </si>
  <si>
    <t>Inv 009562</t>
  </si>
  <si>
    <t>Radish Bush</t>
  </si>
  <si>
    <t>Zadkiel Washington</t>
  </si>
  <si>
    <t>Remiel Arthur</t>
  </si>
  <si>
    <t>Damson Harrison</t>
  </si>
  <si>
    <t>Papaya Obama</t>
  </si>
  <si>
    <t>Avalon Hoover</t>
  </si>
  <si>
    <t>Leek Carter</t>
  </si>
  <si>
    <t>Turnip Bush</t>
  </si>
  <si>
    <t>Anxious Biden</t>
  </si>
  <si>
    <t>Inv 00064906</t>
  </si>
  <si>
    <t>Gabriel Roosevelt</t>
  </si>
  <si>
    <t>Nectarine Obama</t>
  </si>
  <si>
    <t>Revooh Nosirrah</t>
  </si>
  <si>
    <t>Yelnikcm</t>
  </si>
  <si>
    <t>Azrael Wilson</t>
  </si>
  <si>
    <t>Celery Kennedy</t>
  </si>
  <si>
    <t>Stubborn Eisenhower</t>
  </si>
  <si>
    <t>Inv 00584292</t>
  </si>
  <si>
    <t>Michael Grant</t>
  </si>
  <si>
    <t>Leek Polk</t>
  </si>
  <si>
    <t>Turnip Hayes</t>
  </si>
  <si>
    <t>Willow Harrison</t>
  </si>
  <si>
    <t>Gabriel Truman</t>
  </si>
  <si>
    <t>Primofiori Ford</t>
  </si>
  <si>
    <t>Guava Biden</t>
  </si>
  <si>
    <t>Kale Obama</t>
  </si>
  <si>
    <t>Spinach Washington</t>
  </si>
  <si>
    <t>Endive McKinley</t>
  </si>
  <si>
    <t>Wearily Biden</t>
  </si>
  <si>
    <t>Inv 00264722</t>
  </si>
  <si>
    <t>Apple Grant</t>
  </si>
  <si>
    <t>Artichoke Coolidge</t>
  </si>
  <si>
    <t>Selaphiel Truman</t>
  </si>
  <si>
    <t>Ponderosa Truman</t>
  </si>
  <si>
    <t>Papaya Hoover</t>
  </si>
  <si>
    <t>Leek McKinley</t>
  </si>
  <si>
    <t>Neatly Jackson</t>
  </si>
  <si>
    <t>Inv 00000693107</t>
  </si>
  <si>
    <t>Aspen Wilson</t>
  </si>
  <si>
    <t>Raguel Tyler</t>
  </si>
  <si>
    <t>Barachiel Grant</t>
  </si>
  <si>
    <t>Parsnip Jefferson</t>
  </si>
  <si>
    <t>Selaphiel Clinton</t>
  </si>
  <si>
    <t>Sycamore Wilson</t>
  </si>
  <si>
    <t>Sternly Washington</t>
  </si>
  <si>
    <t>Inv 0000582</t>
  </si>
  <si>
    <t>Quince Truman</t>
  </si>
  <si>
    <t>Raspberry Arthur</t>
  </si>
  <si>
    <t>Gabriel Jackson</t>
  </si>
  <si>
    <t>Spinach Adams</t>
  </si>
  <si>
    <t>Ariel Roosevelt</t>
  </si>
  <si>
    <t>Eureka McKinley</t>
  </si>
  <si>
    <t>Papaya Monroe</t>
  </si>
  <si>
    <t>Poplar Adams</t>
  </si>
  <si>
    <t>Jophiel Coolidge</t>
  </si>
  <si>
    <t>Gabriel Harrison</t>
  </si>
  <si>
    <t>Damson Garfield</t>
  </si>
  <si>
    <t>Alder Reagan</t>
  </si>
  <si>
    <t>Quince Madison</t>
  </si>
  <si>
    <t>Shallot Roosevelt</t>
  </si>
  <si>
    <t>Parsnip Polk</t>
  </si>
  <si>
    <t>Fennel Garfield</t>
  </si>
  <si>
    <t>Gabriel Nixon</t>
  </si>
  <si>
    <t>Rewohnesie Smada</t>
  </si>
  <si>
    <t>Notnilc</t>
  </si>
  <si>
    <t>Carrot Harding</t>
  </si>
  <si>
    <t>Guava Harrison</t>
  </si>
  <si>
    <t>Metatron Nixon</t>
  </si>
  <si>
    <t>Honeydew Truman</t>
  </si>
  <si>
    <t>Rutabaga Lincoln</t>
  </si>
  <si>
    <t>Barachiel Taft</t>
  </si>
  <si>
    <t>Apple Cleveland</t>
  </si>
  <si>
    <t>Kiwi Ford</t>
  </si>
  <si>
    <t>Michael Cleveland</t>
  </si>
  <si>
    <t>Woodrow616687087961</t>
  </si>
  <si>
    <t>Anxious Reagan</t>
  </si>
  <si>
    <t>Inv 000644443</t>
  </si>
  <si>
    <t>Hemlock Fillmore</t>
  </si>
  <si>
    <t>Femminello Jefferson</t>
  </si>
  <si>
    <t>Neatly Roosevelt</t>
  </si>
  <si>
    <t>Inv 000005320341</t>
  </si>
  <si>
    <t>dateshift</t>
  </si>
  <si>
    <t>memo check</t>
  </si>
  <si>
    <t>amount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</si>
</sst>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0" fontId="2" fillId="0" borderId="0" xfId="0" applyFont="1"/>
    <xf numFmtId="0" fontId="2" fillId="2" borderId="0" xfId="0" applyFont="1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8BD9-3546-40C2-8C2D-415C0B5E960D}">
  <dimension ref="A1:N209"/>
  <sheetViews>
    <sheetView tabSelected="1" workbookViewId="0">
      <selection activeCell="G9" sqref="G9"/>
    </sheetView>
  </sheetViews>
  <sheetFormatPr defaultRowHeight="14.4" x14ac:dyDescent="0.3"/>
  <cols>
    <col min="1" max="1" width="10.77734375" bestFit="1" customWidth="1"/>
    <col min="2" max="2" width="13.44140625" bestFit="1" customWidth="1"/>
    <col min="3" max="3" width="14.21875" bestFit="1" customWidth="1"/>
    <col min="7" max="7" width="9.33203125" bestFit="1" customWidth="1"/>
    <col min="8" max="8" width="11.21875" bestFit="1" customWidth="1"/>
    <col min="9" max="9" width="20.88671875" bestFit="1" customWidth="1"/>
    <col min="10" max="10" width="16.6640625" bestFit="1" customWidth="1"/>
    <col min="12" max="12" width="12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G1" t="s">
        <v>166</v>
      </c>
      <c r="H1" t="s">
        <v>167</v>
      </c>
      <c r="I1" t="s">
        <v>168</v>
      </c>
      <c r="J1" t="s">
        <v>169</v>
      </c>
      <c r="L1" s="4" t="s">
        <v>394</v>
      </c>
      <c r="M1" s="4" t="s">
        <v>392</v>
      </c>
      <c r="N1" s="4" t="s">
        <v>393</v>
      </c>
    </row>
    <row r="2" spans="1:14" x14ac:dyDescent="0.3">
      <c r="A2" s="1">
        <v>46143</v>
      </c>
      <c r="B2">
        <v>-300</v>
      </c>
      <c r="C2" t="s">
        <v>118</v>
      </c>
      <c r="G2" s="1">
        <v>46155</v>
      </c>
      <c r="H2">
        <v>-100</v>
      </c>
      <c r="I2" t="s">
        <v>208</v>
      </c>
      <c r="J2" t="s">
        <v>209</v>
      </c>
    </row>
    <row r="3" spans="1:14" x14ac:dyDescent="0.3">
      <c r="A3" s="8">
        <v>46150</v>
      </c>
      <c r="B3" s="7">
        <v>7.29</v>
      </c>
      <c r="C3" s="7" t="s">
        <v>144</v>
      </c>
      <c r="D3">
        <v>1</v>
      </c>
      <c r="G3" s="8">
        <v>46150</v>
      </c>
      <c r="H3" s="7">
        <v>7.29</v>
      </c>
      <c r="I3" t="s">
        <v>252</v>
      </c>
      <c r="J3" s="7" t="s">
        <v>144</v>
      </c>
      <c r="K3">
        <v>1</v>
      </c>
      <c r="L3" s="4">
        <f>B3-H3</f>
        <v>0</v>
      </c>
      <c r="M3" s="4">
        <f>A3-G3</f>
        <v>0</v>
      </c>
      <c r="N3" s="4" t="b">
        <f>J3=C3</f>
        <v>1</v>
      </c>
    </row>
    <row r="4" spans="1:14" x14ac:dyDescent="0.3">
      <c r="A4" s="6">
        <v>46164</v>
      </c>
      <c r="B4" s="7">
        <v>10.34</v>
      </c>
      <c r="C4" s="7" t="s">
        <v>140</v>
      </c>
      <c r="D4">
        <v>2</v>
      </c>
      <c r="G4" s="6">
        <v>46161</v>
      </c>
      <c r="H4" s="7">
        <v>10.34</v>
      </c>
      <c r="I4" t="s">
        <v>363</v>
      </c>
      <c r="J4" s="7" t="s">
        <v>140</v>
      </c>
      <c r="K4">
        <v>2</v>
      </c>
      <c r="L4" s="4">
        <f>B4-H4</f>
        <v>0</v>
      </c>
      <c r="M4" s="5">
        <f>A4-G4</f>
        <v>3</v>
      </c>
      <c r="N4" s="4" t="b">
        <f>J4=C4</f>
        <v>1</v>
      </c>
    </row>
    <row r="5" spans="1:14" x14ac:dyDescent="0.3">
      <c r="A5" s="8">
        <v>46150</v>
      </c>
      <c r="B5" s="7">
        <v>13.13</v>
      </c>
      <c r="C5" s="7" t="s">
        <v>108</v>
      </c>
      <c r="D5">
        <v>3</v>
      </c>
      <c r="G5" s="8">
        <v>46149</v>
      </c>
      <c r="H5" s="7">
        <v>13.13</v>
      </c>
      <c r="I5" t="s">
        <v>305</v>
      </c>
      <c r="J5" s="7" t="s">
        <v>108</v>
      </c>
      <c r="K5">
        <v>3</v>
      </c>
      <c r="L5" s="4">
        <f>B5-H5</f>
        <v>0</v>
      </c>
      <c r="M5" s="5">
        <f>A5-G5</f>
        <v>1</v>
      </c>
      <c r="N5" s="4" t="b">
        <f>J5=C5</f>
        <v>1</v>
      </c>
    </row>
    <row r="6" spans="1:14" x14ac:dyDescent="0.3">
      <c r="A6" s="1">
        <v>46161</v>
      </c>
      <c r="B6">
        <v>13.71</v>
      </c>
      <c r="C6" t="s">
        <v>8</v>
      </c>
      <c r="G6" s="1">
        <v>46159</v>
      </c>
      <c r="H6">
        <v>14.88</v>
      </c>
      <c r="I6" t="s">
        <v>235</v>
      </c>
      <c r="J6" t="s">
        <v>236</v>
      </c>
    </row>
    <row r="7" spans="1:14" x14ac:dyDescent="0.3">
      <c r="A7" s="1">
        <v>46159</v>
      </c>
      <c r="B7">
        <v>14.88</v>
      </c>
      <c r="C7" t="s">
        <v>139</v>
      </c>
      <c r="G7" s="1">
        <v>46167</v>
      </c>
      <c r="H7">
        <v>17.579999999999998</v>
      </c>
      <c r="I7" t="s">
        <v>295</v>
      </c>
      <c r="J7" t="s">
        <v>62</v>
      </c>
    </row>
    <row r="8" spans="1:14" x14ac:dyDescent="0.3">
      <c r="A8" s="1">
        <v>46168</v>
      </c>
      <c r="B8">
        <v>17.579999999999998</v>
      </c>
      <c r="C8" t="s">
        <v>62</v>
      </c>
      <c r="G8" s="1">
        <v>46147</v>
      </c>
      <c r="H8">
        <v>24.2</v>
      </c>
      <c r="I8" t="s">
        <v>278</v>
      </c>
      <c r="J8" t="s">
        <v>118</v>
      </c>
    </row>
    <row r="9" spans="1:14" x14ac:dyDescent="0.3">
      <c r="A9" s="1">
        <v>46147</v>
      </c>
      <c r="B9">
        <v>24.2</v>
      </c>
      <c r="C9" t="s">
        <v>118</v>
      </c>
      <c r="G9" s="1">
        <v>46156</v>
      </c>
      <c r="H9">
        <v>24.53</v>
      </c>
      <c r="I9" t="s">
        <v>178</v>
      </c>
      <c r="J9" t="s">
        <v>160</v>
      </c>
    </row>
    <row r="10" spans="1:14" x14ac:dyDescent="0.3">
      <c r="A10" s="1">
        <v>46155</v>
      </c>
      <c r="B10">
        <v>24.53</v>
      </c>
      <c r="C10" t="s">
        <v>160</v>
      </c>
      <c r="G10" s="1">
        <v>46164</v>
      </c>
      <c r="H10">
        <v>27.83</v>
      </c>
      <c r="I10" t="s">
        <v>215</v>
      </c>
      <c r="J10" t="s">
        <v>79</v>
      </c>
    </row>
    <row r="11" spans="1:14" x14ac:dyDescent="0.3">
      <c r="A11" s="1">
        <v>46162</v>
      </c>
      <c r="B11">
        <v>27.83</v>
      </c>
      <c r="C11" t="s">
        <v>79</v>
      </c>
      <c r="G11" s="1">
        <v>46160</v>
      </c>
      <c r="H11">
        <v>37.64</v>
      </c>
      <c r="I11" t="s">
        <v>333</v>
      </c>
      <c r="J11" t="s">
        <v>46</v>
      </c>
    </row>
    <row r="12" spans="1:14" x14ac:dyDescent="0.3">
      <c r="A12" s="1">
        <v>46164</v>
      </c>
      <c r="B12">
        <v>43.5</v>
      </c>
      <c r="C12" t="s">
        <v>54</v>
      </c>
      <c r="G12" s="1">
        <v>46150</v>
      </c>
      <c r="H12">
        <v>43.5</v>
      </c>
      <c r="I12" t="s">
        <v>232</v>
      </c>
      <c r="J12" t="s">
        <v>233</v>
      </c>
    </row>
    <row r="13" spans="1:14" x14ac:dyDescent="0.3">
      <c r="A13" s="1">
        <v>46153</v>
      </c>
      <c r="B13">
        <v>46.8</v>
      </c>
      <c r="C13" t="s">
        <v>86</v>
      </c>
      <c r="G13" s="1">
        <v>46156</v>
      </c>
      <c r="H13">
        <v>46.8</v>
      </c>
      <c r="I13" t="s">
        <v>200</v>
      </c>
      <c r="J13" t="s">
        <v>86</v>
      </c>
    </row>
    <row r="14" spans="1:14" x14ac:dyDescent="0.3">
      <c r="A14" s="1">
        <v>46159</v>
      </c>
      <c r="B14">
        <v>47.6</v>
      </c>
      <c r="C14" t="s">
        <v>78</v>
      </c>
      <c r="G14" s="1">
        <v>46159</v>
      </c>
      <c r="H14">
        <v>47.6</v>
      </c>
      <c r="I14" t="s">
        <v>331</v>
      </c>
      <c r="J14" t="s">
        <v>78</v>
      </c>
    </row>
    <row r="15" spans="1:14" x14ac:dyDescent="0.3">
      <c r="A15" s="1">
        <v>46172</v>
      </c>
      <c r="B15">
        <v>57.92</v>
      </c>
      <c r="C15" t="s">
        <v>84</v>
      </c>
      <c r="G15" s="1">
        <v>46155</v>
      </c>
      <c r="H15">
        <v>57.03</v>
      </c>
      <c r="I15" t="s">
        <v>290</v>
      </c>
      <c r="J15" t="s">
        <v>124</v>
      </c>
    </row>
    <row r="16" spans="1:14" x14ac:dyDescent="0.3">
      <c r="A16" s="1">
        <v>46151</v>
      </c>
      <c r="B16">
        <v>62.41</v>
      </c>
      <c r="C16" t="s">
        <v>119</v>
      </c>
      <c r="G16" s="1">
        <v>46168</v>
      </c>
      <c r="H16">
        <v>57.38</v>
      </c>
      <c r="I16" t="s">
        <v>239</v>
      </c>
      <c r="J16" t="s">
        <v>148</v>
      </c>
    </row>
    <row r="17" spans="1:10" x14ac:dyDescent="0.3">
      <c r="A17" s="1">
        <v>46167</v>
      </c>
      <c r="B17">
        <v>71.11</v>
      </c>
      <c r="C17" t="s">
        <v>97</v>
      </c>
      <c r="G17" s="1">
        <v>46172</v>
      </c>
      <c r="H17">
        <v>57.92</v>
      </c>
      <c r="I17" t="s">
        <v>273</v>
      </c>
      <c r="J17" t="s">
        <v>84</v>
      </c>
    </row>
    <row r="18" spans="1:10" x14ac:dyDescent="0.3">
      <c r="A18" s="1">
        <v>46149</v>
      </c>
      <c r="B18">
        <v>72.47</v>
      </c>
      <c r="C18" t="s">
        <v>82</v>
      </c>
      <c r="G18" s="1">
        <v>46151</v>
      </c>
      <c r="H18">
        <v>62.41</v>
      </c>
      <c r="I18" t="s">
        <v>376</v>
      </c>
      <c r="J18" t="s">
        <v>119</v>
      </c>
    </row>
    <row r="19" spans="1:10" x14ac:dyDescent="0.3">
      <c r="A19" s="1">
        <v>46144</v>
      </c>
      <c r="B19">
        <v>81.25</v>
      </c>
      <c r="C19" t="s">
        <v>52</v>
      </c>
      <c r="G19" s="1">
        <v>46149</v>
      </c>
      <c r="H19">
        <v>72.47</v>
      </c>
      <c r="I19" t="s">
        <v>186</v>
      </c>
      <c r="J19" t="s">
        <v>82</v>
      </c>
    </row>
    <row r="20" spans="1:10" x14ac:dyDescent="0.3">
      <c r="A20" s="1">
        <v>46148</v>
      </c>
      <c r="B20">
        <v>86.66</v>
      </c>
      <c r="C20" t="s">
        <v>22</v>
      </c>
      <c r="G20" s="1">
        <v>46160</v>
      </c>
      <c r="H20">
        <v>80.62</v>
      </c>
      <c r="I20" t="s">
        <v>193</v>
      </c>
      <c r="J20" t="s">
        <v>51</v>
      </c>
    </row>
    <row r="21" spans="1:10" x14ac:dyDescent="0.3">
      <c r="A21" s="1">
        <v>46169</v>
      </c>
      <c r="B21">
        <v>93.55</v>
      </c>
      <c r="C21" t="s">
        <v>74</v>
      </c>
      <c r="G21" s="1">
        <v>46155</v>
      </c>
      <c r="H21">
        <v>81.42</v>
      </c>
      <c r="I21" t="s">
        <v>350</v>
      </c>
      <c r="J21" t="s">
        <v>6</v>
      </c>
    </row>
    <row r="22" spans="1:10" x14ac:dyDescent="0.3">
      <c r="A22" s="1">
        <v>46152</v>
      </c>
      <c r="B22">
        <v>101.09</v>
      </c>
      <c r="C22" t="s">
        <v>21</v>
      </c>
      <c r="G22" s="1">
        <v>46169</v>
      </c>
      <c r="H22">
        <v>93.55</v>
      </c>
      <c r="I22" t="s">
        <v>380</v>
      </c>
      <c r="J22" t="s">
        <v>74</v>
      </c>
    </row>
    <row r="23" spans="1:10" x14ac:dyDescent="0.3">
      <c r="A23" s="1">
        <v>46143</v>
      </c>
      <c r="B23">
        <v>101.3</v>
      </c>
      <c r="C23" t="s">
        <v>129</v>
      </c>
      <c r="G23" s="1">
        <v>46164</v>
      </c>
      <c r="H23">
        <v>96.03</v>
      </c>
      <c r="I23" t="s">
        <v>285</v>
      </c>
      <c r="J23" t="s">
        <v>130</v>
      </c>
    </row>
    <row r="24" spans="1:10" x14ac:dyDescent="0.3">
      <c r="A24" s="1">
        <v>46163</v>
      </c>
      <c r="B24">
        <v>108.07</v>
      </c>
      <c r="C24" t="s">
        <v>96</v>
      </c>
      <c r="G24" s="1">
        <v>46155</v>
      </c>
      <c r="H24">
        <v>100</v>
      </c>
      <c r="I24" t="s">
        <v>208</v>
      </c>
      <c r="J24" t="s">
        <v>209</v>
      </c>
    </row>
    <row r="25" spans="1:10" x14ac:dyDescent="0.3">
      <c r="A25" s="1">
        <v>46165</v>
      </c>
      <c r="B25">
        <v>108.56</v>
      </c>
      <c r="C25" t="s">
        <v>10</v>
      </c>
      <c r="G25" s="1">
        <v>46168</v>
      </c>
      <c r="H25">
        <v>100.25</v>
      </c>
      <c r="I25" t="s">
        <v>307</v>
      </c>
      <c r="J25" t="s">
        <v>148</v>
      </c>
    </row>
    <row r="26" spans="1:10" x14ac:dyDescent="0.3">
      <c r="A26" s="1">
        <v>46169</v>
      </c>
      <c r="B26">
        <v>111.77</v>
      </c>
      <c r="C26" t="s">
        <v>128</v>
      </c>
      <c r="G26" s="1">
        <v>46160</v>
      </c>
      <c r="H26">
        <v>101.3</v>
      </c>
      <c r="I26" t="s">
        <v>389</v>
      </c>
      <c r="J26" t="s">
        <v>129</v>
      </c>
    </row>
    <row r="27" spans="1:10" x14ac:dyDescent="0.3">
      <c r="A27" s="1">
        <v>46146</v>
      </c>
      <c r="B27">
        <v>112.31</v>
      </c>
      <c r="C27" t="s">
        <v>113</v>
      </c>
      <c r="G27" s="1">
        <v>46156</v>
      </c>
      <c r="H27">
        <v>105.59</v>
      </c>
      <c r="I27" t="s">
        <v>384</v>
      </c>
      <c r="J27" t="s">
        <v>17</v>
      </c>
    </row>
    <row r="28" spans="1:10" x14ac:dyDescent="0.3">
      <c r="A28" s="1">
        <v>46146</v>
      </c>
      <c r="B28">
        <v>114.86</v>
      </c>
      <c r="C28" t="s">
        <v>58</v>
      </c>
      <c r="G28" s="1">
        <v>46147</v>
      </c>
      <c r="H28">
        <v>108.07</v>
      </c>
      <c r="I28" t="s">
        <v>286</v>
      </c>
      <c r="J28" t="s">
        <v>96</v>
      </c>
    </row>
    <row r="29" spans="1:10" x14ac:dyDescent="0.3">
      <c r="A29" s="1">
        <v>46158</v>
      </c>
      <c r="B29">
        <v>118.41</v>
      </c>
      <c r="C29" t="s">
        <v>4</v>
      </c>
      <c r="G29" s="1">
        <v>46164</v>
      </c>
      <c r="H29">
        <v>108.56</v>
      </c>
      <c r="I29" t="s">
        <v>298</v>
      </c>
      <c r="J29" t="s">
        <v>10</v>
      </c>
    </row>
    <row r="30" spans="1:10" x14ac:dyDescent="0.3">
      <c r="A30" s="1">
        <v>46165</v>
      </c>
      <c r="B30">
        <v>125.06</v>
      </c>
      <c r="C30" t="s">
        <v>63</v>
      </c>
      <c r="G30" s="1">
        <v>46146</v>
      </c>
      <c r="H30">
        <v>112.31</v>
      </c>
      <c r="I30" t="s">
        <v>190</v>
      </c>
      <c r="J30" t="s">
        <v>113</v>
      </c>
    </row>
    <row r="31" spans="1:10" x14ac:dyDescent="0.3">
      <c r="A31" s="1">
        <v>46166</v>
      </c>
      <c r="B31">
        <v>128.21</v>
      </c>
      <c r="C31" t="s">
        <v>49</v>
      </c>
      <c r="G31" s="1">
        <v>46146</v>
      </c>
      <c r="H31">
        <v>114.86</v>
      </c>
      <c r="I31" t="s">
        <v>318</v>
      </c>
      <c r="J31" t="s">
        <v>58</v>
      </c>
    </row>
    <row r="32" spans="1:10" x14ac:dyDescent="0.3">
      <c r="A32" s="1">
        <v>46154</v>
      </c>
      <c r="B32">
        <v>155.58000000000001</v>
      </c>
      <c r="C32" t="s">
        <v>134</v>
      </c>
      <c r="G32" s="1">
        <v>46173</v>
      </c>
      <c r="H32">
        <v>118.41</v>
      </c>
      <c r="I32" t="s">
        <v>272</v>
      </c>
      <c r="J32" t="s">
        <v>4</v>
      </c>
    </row>
    <row r="33" spans="1:10" x14ac:dyDescent="0.3">
      <c r="A33" s="1">
        <v>46156</v>
      </c>
      <c r="B33">
        <v>161.02000000000001</v>
      </c>
      <c r="C33" t="s">
        <v>55</v>
      </c>
      <c r="G33" s="1">
        <v>46160</v>
      </c>
      <c r="H33">
        <v>118.46</v>
      </c>
      <c r="I33" t="s">
        <v>181</v>
      </c>
      <c r="J33" t="s">
        <v>161</v>
      </c>
    </row>
    <row r="34" spans="1:10" x14ac:dyDescent="0.3">
      <c r="A34" s="1">
        <v>46172</v>
      </c>
      <c r="B34">
        <v>165.4</v>
      </c>
      <c r="C34" t="s">
        <v>34</v>
      </c>
      <c r="G34" s="1">
        <v>46149</v>
      </c>
      <c r="H34">
        <v>133.96</v>
      </c>
      <c r="I34" t="s">
        <v>293</v>
      </c>
      <c r="J34" t="s">
        <v>95</v>
      </c>
    </row>
    <row r="35" spans="1:10" x14ac:dyDescent="0.3">
      <c r="A35" s="1">
        <v>46144</v>
      </c>
      <c r="B35">
        <v>168.28</v>
      </c>
      <c r="C35" t="s">
        <v>105</v>
      </c>
      <c r="G35" s="1">
        <v>46154</v>
      </c>
      <c r="H35">
        <v>155.58000000000001</v>
      </c>
      <c r="I35" t="s">
        <v>370</v>
      </c>
      <c r="J35" t="s">
        <v>134</v>
      </c>
    </row>
    <row r="36" spans="1:10" x14ac:dyDescent="0.3">
      <c r="A36" s="1">
        <v>46144</v>
      </c>
      <c r="B36">
        <v>169.46</v>
      </c>
      <c r="C36">
        <v>264722</v>
      </c>
      <c r="G36" s="1">
        <v>46152</v>
      </c>
      <c r="H36">
        <v>165.4</v>
      </c>
      <c r="I36" t="s">
        <v>344</v>
      </c>
      <c r="J36" t="s">
        <v>34</v>
      </c>
    </row>
    <row r="37" spans="1:10" x14ac:dyDescent="0.3">
      <c r="A37" s="1">
        <v>46160</v>
      </c>
      <c r="B37">
        <v>175.89</v>
      </c>
      <c r="C37" t="s">
        <v>93</v>
      </c>
      <c r="G37" s="1">
        <v>46144</v>
      </c>
      <c r="H37">
        <v>168.28</v>
      </c>
      <c r="I37" t="s">
        <v>219</v>
      </c>
      <c r="J37" t="s">
        <v>105</v>
      </c>
    </row>
    <row r="38" spans="1:10" x14ac:dyDescent="0.3">
      <c r="A38" s="1">
        <v>46147</v>
      </c>
      <c r="B38">
        <v>179.77</v>
      </c>
      <c r="C38" t="s">
        <v>163</v>
      </c>
      <c r="G38" s="1">
        <v>46161</v>
      </c>
      <c r="H38">
        <v>169.46</v>
      </c>
      <c r="I38" t="s">
        <v>339</v>
      </c>
      <c r="J38" t="s">
        <v>340</v>
      </c>
    </row>
    <row r="39" spans="1:10" x14ac:dyDescent="0.3">
      <c r="A39" s="1">
        <v>46170</v>
      </c>
      <c r="B39">
        <v>187.91</v>
      </c>
      <c r="C39" t="s">
        <v>136</v>
      </c>
      <c r="G39" s="1">
        <v>46163</v>
      </c>
      <c r="H39">
        <v>175.89</v>
      </c>
      <c r="I39" t="s">
        <v>314</v>
      </c>
      <c r="J39" t="s">
        <v>93</v>
      </c>
    </row>
    <row r="40" spans="1:10" x14ac:dyDescent="0.3">
      <c r="A40" s="1">
        <v>46166</v>
      </c>
      <c r="B40">
        <v>192.96</v>
      </c>
      <c r="C40" t="s">
        <v>158</v>
      </c>
      <c r="G40" s="1">
        <v>46147</v>
      </c>
      <c r="H40">
        <v>179.77</v>
      </c>
      <c r="I40" t="s">
        <v>371</v>
      </c>
      <c r="J40" t="s">
        <v>163</v>
      </c>
    </row>
    <row r="41" spans="1:10" x14ac:dyDescent="0.3">
      <c r="A41" s="1">
        <v>46165</v>
      </c>
      <c r="B41">
        <v>201.57</v>
      </c>
      <c r="C41" t="s">
        <v>29</v>
      </c>
      <c r="G41" s="1">
        <v>46167</v>
      </c>
      <c r="H41">
        <v>187.91</v>
      </c>
      <c r="I41" t="s">
        <v>335</v>
      </c>
      <c r="J41" t="s">
        <v>136</v>
      </c>
    </row>
    <row r="42" spans="1:10" x14ac:dyDescent="0.3">
      <c r="A42" s="1">
        <v>46151</v>
      </c>
      <c r="B42">
        <v>203.32</v>
      </c>
      <c r="C42" t="s">
        <v>101</v>
      </c>
      <c r="G42" s="1">
        <v>46166</v>
      </c>
      <c r="H42">
        <v>192.96</v>
      </c>
      <c r="I42" t="s">
        <v>337</v>
      </c>
      <c r="J42" t="s">
        <v>158</v>
      </c>
    </row>
    <row r="43" spans="1:10" x14ac:dyDescent="0.3">
      <c r="A43" s="1">
        <v>46151</v>
      </c>
      <c r="B43">
        <v>211.39</v>
      </c>
      <c r="C43" t="s">
        <v>40</v>
      </c>
      <c r="G43" s="1">
        <v>46148</v>
      </c>
      <c r="H43">
        <v>203.32</v>
      </c>
      <c r="I43" t="s">
        <v>383</v>
      </c>
      <c r="J43" t="s">
        <v>101</v>
      </c>
    </row>
    <row r="44" spans="1:10" x14ac:dyDescent="0.3">
      <c r="A44" s="1">
        <v>46144</v>
      </c>
      <c r="B44">
        <v>222.44</v>
      </c>
      <c r="C44" t="s">
        <v>52</v>
      </c>
      <c r="G44" s="1">
        <v>46160</v>
      </c>
      <c r="H44">
        <v>204.99</v>
      </c>
      <c r="I44" t="s">
        <v>308</v>
      </c>
      <c r="J44" t="s">
        <v>46</v>
      </c>
    </row>
    <row r="45" spans="1:10" x14ac:dyDescent="0.3">
      <c r="A45" s="1">
        <v>46154</v>
      </c>
      <c r="B45">
        <v>223.26</v>
      </c>
      <c r="C45" t="s">
        <v>73</v>
      </c>
      <c r="G45" s="1">
        <v>46152</v>
      </c>
      <c r="H45">
        <v>245.02</v>
      </c>
      <c r="I45" t="s">
        <v>249</v>
      </c>
      <c r="J45" t="s">
        <v>56</v>
      </c>
    </row>
    <row r="46" spans="1:10" x14ac:dyDescent="0.3">
      <c r="A46" s="1">
        <v>46144</v>
      </c>
      <c r="B46">
        <v>226.75</v>
      </c>
      <c r="C46" t="s">
        <v>52</v>
      </c>
      <c r="G46" s="1">
        <v>46160</v>
      </c>
      <c r="H46">
        <v>245.98</v>
      </c>
      <c r="I46" t="s">
        <v>329</v>
      </c>
      <c r="J46" t="s">
        <v>51</v>
      </c>
    </row>
    <row r="47" spans="1:10" x14ac:dyDescent="0.3">
      <c r="A47" s="1">
        <v>46148</v>
      </c>
      <c r="B47">
        <v>228.36</v>
      </c>
      <c r="C47" t="s">
        <v>22</v>
      </c>
      <c r="G47" s="1">
        <v>46173</v>
      </c>
      <c r="H47">
        <v>249.66</v>
      </c>
      <c r="I47" t="s">
        <v>372</v>
      </c>
      <c r="J47" t="s">
        <v>60</v>
      </c>
    </row>
    <row r="48" spans="1:10" x14ac:dyDescent="0.3">
      <c r="A48" s="1">
        <v>46156</v>
      </c>
      <c r="B48">
        <v>243.49</v>
      </c>
      <c r="C48" t="s">
        <v>55</v>
      </c>
      <c r="G48" s="1">
        <v>46163</v>
      </c>
      <c r="H48">
        <v>252.51</v>
      </c>
      <c r="I48" t="s">
        <v>234</v>
      </c>
      <c r="J48" t="s">
        <v>41</v>
      </c>
    </row>
    <row r="49" spans="1:10" x14ac:dyDescent="0.3">
      <c r="A49" s="1">
        <v>46149</v>
      </c>
      <c r="B49">
        <v>245.02</v>
      </c>
      <c r="C49" t="s">
        <v>56</v>
      </c>
      <c r="G49" s="1">
        <v>46169</v>
      </c>
      <c r="H49">
        <v>252.99</v>
      </c>
      <c r="I49" t="s">
        <v>326</v>
      </c>
      <c r="J49" t="s">
        <v>83</v>
      </c>
    </row>
    <row r="50" spans="1:10" x14ac:dyDescent="0.3">
      <c r="A50" s="1">
        <v>46173</v>
      </c>
      <c r="B50">
        <v>249.66</v>
      </c>
      <c r="C50" t="s">
        <v>60</v>
      </c>
      <c r="G50" s="1">
        <v>46150</v>
      </c>
      <c r="H50">
        <v>256.39999999999998</v>
      </c>
      <c r="I50" t="s">
        <v>211</v>
      </c>
      <c r="J50" t="s">
        <v>92</v>
      </c>
    </row>
    <row r="51" spans="1:10" x14ac:dyDescent="0.3">
      <c r="A51" s="1">
        <v>46169</v>
      </c>
      <c r="B51">
        <v>252.99</v>
      </c>
      <c r="C51" t="s">
        <v>83</v>
      </c>
      <c r="G51" s="1">
        <v>46149</v>
      </c>
      <c r="H51">
        <v>267.82</v>
      </c>
      <c r="I51" t="s">
        <v>194</v>
      </c>
      <c r="J51" t="s">
        <v>123</v>
      </c>
    </row>
    <row r="52" spans="1:10" x14ac:dyDescent="0.3">
      <c r="A52" s="1">
        <v>46150</v>
      </c>
      <c r="B52">
        <v>256.39999999999998</v>
      </c>
      <c r="C52" t="s">
        <v>92</v>
      </c>
      <c r="G52" s="1">
        <v>46149</v>
      </c>
      <c r="H52">
        <v>271.41000000000003</v>
      </c>
      <c r="I52" t="s">
        <v>205</v>
      </c>
      <c r="J52" t="s">
        <v>38</v>
      </c>
    </row>
    <row r="53" spans="1:10" x14ac:dyDescent="0.3">
      <c r="A53" s="1">
        <v>46170</v>
      </c>
      <c r="B53">
        <v>263.89</v>
      </c>
      <c r="C53" t="s">
        <v>98</v>
      </c>
      <c r="G53" s="1">
        <v>46171</v>
      </c>
      <c r="H53">
        <v>279.19</v>
      </c>
      <c r="I53" t="s">
        <v>229</v>
      </c>
      <c r="J53" t="s">
        <v>230</v>
      </c>
    </row>
    <row r="54" spans="1:10" x14ac:dyDescent="0.3">
      <c r="A54" s="1">
        <v>46149</v>
      </c>
      <c r="B54">
        <v>267.82</v>
      </c>
      <c r="C54" t="s">
        <v>123</v>
      </c>
      <c r="G54" s="1">
        <v>46157</v>
      </c>
      <c r="H54">
        <v>285.67</v>
      </c>
      <c r="I54" t="s">
        <v>202</v>
      </c>
      <c r="J54" t="s">
        <v>27</v>
      </c>
    </row>
    <row r="55" spans="1:10" x14ac:dyDescent="0.3">
      <c r="A55" s="1">
        <v>46149</v>
      </c>
      <c r="B55">
        <v>271.41000000000003</v>
      </c>
      <c r="C55" t="s">
        <v>38</v>
      </c>
      <c r="G55" s="1">
        <v>46163</v>
      </c>
      <c r="H55">
        <v>310.06</v>
      </c>
      <c r="I55" t="s">
        <v>259</v>
      </c>
      <c r="J55" t="s">
        <v>77</v>
      </c>
    </row>
    <row r="56" spans="1:10" x14ac:dyDescent="0.3">
      <c r="A56" s="1">
        <v>46172</v>
      </c>
      <c r="B56">
        <v>279.19</v>
      </c>
      <c r="C56" t="s">
        <v>76</v>
      </c>
      <c r="G56" s="1">
        <v>46166</v>
      </c>
      <c r="H56">
        <v>311.72000000000003</v>
      </c>
      <c r="I56" t="s">
        <v>317</v>
      </c>
      <c r="J56" t="s">
        <v>75</v>
      </c>
    </row>
    <row r="57" spans="1:10" x14ac:dyDescent="0.3">
      <c r="A57" s="1">
        <v>46158</v>
      </c>
      <c r="B57">
        <v>285.67</v>
      </c>
      <c r="C57" t="s">
        <v>27</v>
      </c>
      <c r="G57" s="1">
        <v>46160</v>
      </c>
      <c r="H57">
        <v>314.60000000000002</v>
      </c>
      <c r="I57" t="s">
        <v>275</v>
      </c>
      <c r="J57" t="s">
        <v>25</v>
      </c>
    </row>
    <row r="58" spans="1:10" x14ac:dyDescent="0.3">
      <c r="A58" s="1">
        <v>46144</v>
      </c>
      <c r="B58">
        <v>292.02</v>
      </c>
      <c r="C58" t="s">
        <v>52</v>
      </c>
      <c r="G58" s="1">
        <v>46156</v>
      </c>
      <c r="H58">
        <v>315.01</v>
      </c>
      <c r="I58" t="s">
        <v>225</v>
      </c>
      <c r="J58" t="s">
        <v>226</v>
      </c>
    </row>
    <row r="59" spans="1:10" x14ac:dyDescent="0.3">
      <c r="A59" s="1">
        <v>46169</v>
      </c>
      <c r="B59">
        <v>294.31</v>
      </c>
      <c r="C59" t="s">
        <v>128</v>
      </c>
      <c r="G59" s="1">
        <v>46148</v>
      </c>
      <c r="H59">
        <v>315.02</v>
      </c>
      <c r="I59" t="s">
        <v>296</v>
      </c>
      <c r="J59" t="s">
        <v>22</v>
      </c>
    </row>
    <row r="60" spans="1:10" x14ac:dyDescent="0.3">
      <c r="A60" s="1">
        <v>46148</v>
      </c>
      <c r="B60">
        <v>298.02999999999997</v>
      </c>
      <c r="C60" t="s">
        <v>5</v>
      </c>
      <c r="G60" s="1">
        <v>46149</v>
      </c>
      <c r="H60">
        <v>318.24</v>
      </c>
      <c r="I60" t="s">
        <v>291</v>
      </c>
      <c r="J60" t="s">
        <v>95</v>
      </c>
    </row>
    <row r="61" spans="1:10" x14ac:dyDescent="0.3">
      <c r="A61" s="1">
        <v>46143</v>
      </c>
      <c r="B61">
        <v>300</v>
      </c>
      <c r="C61" t="s">
        <v>118</v>
      </c>
      <c r="G61" s="1">
        <v>46153</v>
      </c>
      <c r="H61">
        <v>333.9</v>
      </c>
      <c r="I61" t="s">
        <v>218</v>
      </c>
      <c r="J61" t="s">
        <v>110</v>
      </c>
    </row>
    <row r="62" spans="1:10" x14ac:dyDescent="0.3">
      <c r="A62" s="1">
        <v>46154</v>
      </c>
      <c r="B62">
        <v>304.12</v>
      </c>
      <c r="C62" t="s">
        <v>73</v>
      </c>
      <c r="G62" s="1">
        <v>46144</v>
      </c>
      <c r="H62">
        <v>339.21</v>
      </c>
      <c r="I62" t="s">
        <v>206</v>
      </c>
      <c r="J62" t="s">
        <v>132</v>
      </c>
    </row>
    <row r="63" spans="1:10" x14ac:dyDescent="0.3">
      <c r="A63" s="1">
        <v>46166</v>
      </c>
      <c r="B63">
        <v>306.16000000000003</v>
      </c>
      <c r="C63" t="s">
        <v>49</v>
      </c>
      <c r="G63" s="1">
        <v>46156</v>
      </c>
      <c r="H63">
        <v>345.67</v>
      </c>
      <c r="I63" t="s">
        <v>180</v>
      </c>
      <c r="J63" t="s">
        <v>142</v>
      </c>
    </row>
    <row r="64" spans="1:10" x14ac:dyDescent="0.3">
      <c r="A64" s="1">
        <v>46163</v>
      </c>
      <c r="B64">
        <v>310.06</v>
      </c>
      <c r="C64" t="s">
        <v>77</v>
      </c>
      <c r="G64" s="1">
        <v>46155</v>
      </c>
      <c r="H64">
        <v>350.41</v>
      </c>
      <c r="I64" t="s">
        <v>381</v>
      </c>
      <c r="J64" t="s">
        <v>6</v>
      </c>
    </row>
    <row r="65" spans="1:10" x14ac:dyDescent="0.3">
      <c r="A65" s="1">
        <v>46166</v>
      </c>
      <c r="B65">
        <v>311.72000000000003</v>
      </c>
      <c r="C65" t="s">
        <v>75</v>
      </c>
      <c r="G65" s="1">
        <v>46159</v>
      </c>
      <c r="H65">
        <v>366.44</v>
      </c>
      <c r="I65" t="s">
        <v>255</v>
      </c>
      <c r="J65" t="s">
        <v>115</v>
      </c>
    </row>
    <row r="66" spans="1:10" x14ac:dyDescent="0.3">
      <c r="A66" s="1">
        <v>46160</v>
      </c>
      <c r="B66">
        <v>314.60000000000002</v>
      </c>
      <c r="C66" t="s">
        <v>25</v>
      </c>
      <c r="G66" s="1">
        <v>46153</v>
      </c>
      <c r="H66">
        <v>379.1</v>
      </c>
      <c r="I66" t="s">
        <v>247</v>
      </c>
      <c r="J66" t="s">
        <v>110</v>
      </c>
    </row>
    <row r="67" spans="1:10" x14ac:dyDescent="0.3">
      <c r="A67" s="1">
        <v>46167</v>
      </c>
      <c r="B67">
        <v>315.01</v>
      </c>
      <c r="C67" t="s">
        <v>120</v>
      </c>
      <c r="G67" s="1">
        <v>46151</v>
      </c>
      <c r="H67">
        <v>380.58</v>
      </c>
      <c r="I67" t="s">
        <v>341</v>
      </c>
      <c r="J67" t="s">
        <v>65</v>
      </c>
    </row>
    <row r="68" spans="1:10" x14ac:dyDescent="0.3">
      <c r="A68" s="1">
        <v>46151</v>
      </c>
      <c r="B68">
        <v>333.53</v>
      </c>
      <c r="C68" t="s">
        <v>40</v>
      </c>
      <c r="G68" s="1">
        <v>46155</v>
      </c>
      <c r="H68">
        <v>380.94</v>
      </c>
      <c r="I68" t="s">
        <v>222</v>
      </c>
      <c r="J68" t="s">
        <v>48</v>
      </c>
    </row>
    <row r="69" spans="1:10" x14ac:dyDescent="0.3">
      <c r="A69" s="1">
        <v>46146</v>
      </c>
      <c r="B69">
        <v>339.21</v>
      </c>
      <c r="C69" t="s">
        <v>132</v>
      </c>
      <c r="G69" s="1">
        <v>46166</v>
      </c>
      <c r="H69">
        <v>390.46</v>
      </c>
      <c r="I69" t="s">
        <v>360</v>
      </c>
      <c r="J69" t="s">
        <v>72</v>
      </c>
    </row>
    <row r="70" spans="1:10" x14ac:dyDescent="0.3">
      <c r="A70" s="1">
        <v>46156</v>
      </c>
      <c r="B70">
        <v>345.67</v>
      </c>
      <c r="C70" t="s">
        <v>142</v>
      </c>
      <c r="G70" s="1">
        <v>46151</v>
      </c>
      <c r="H70">
        <v>392.51</v>
      </c>
      <c r="I70" t="s">
        <v>273</v>
      </c>
      <c r="J70" t="s">
        <v>121</v>
      </c>
    </row>
    <row r="71" spans="1:10" x14ac:dyDescent="0.3">
      <c r="A71" s="1">
        <v>46159</v>
      </c>
      <c r="B71">
        <v>366.44</v>
      </c>
      <c r="C71" t="s">
        <v>115</v>
      </c>
      <c r="G71" s="1">
        <v>46151</v>
      </c>
      <c r="H71">
        <v>393.32</v>
      </c>
      <c r="I71" t="s">
        <v>379</v>
      </c>
      <c r="J71" t="s">
        <v>88</v>
      </c>
    </row>
    <row r="72" spans="1:10" x14ac:dyDescent="0.3">
      <c r="A72" s="1">
        <v>46144</v>
      </c>
      <c r="B72">
        <v>373.75</v>
      </c>
      <c r="C72" t="s">
        <v>52</v>
      </c>
      <c r="G72" s="1">
        <v>46165</v>
      </c>
      <c r="H72">
        <v>404.51</v>
      </c>
      <c r="I72" t="s">
        <v>178</v>
      </c>
      <c r="J72" t="s">
        <v>37</v>
      </c>
    </row>
    <row r="73" spans="1:10" x14ac:dyDescent="0.3">
      <c r="A73" s="1">
        <v>46148</v>
      </c>
      <c r="B73">
        <v>380.58</v>
      </c>
      <c r="C73" t="s">
        <v>65</v>
      </c>
      <c r="G73" s="1">
        <v>46169</v>
      </c>
      <c r="H73">
        <v>406.08</v>
      </c>
      <c r="I73" t="s">
        <v>274</v>
      </c>
      <c r="J73" t="s">
        <v>128</v>
      </c>
    </row>
    <row r="74" spans="1:10" x14ac:dyDescent="0.3">
      <c r="A74" s="1">
        <v>46166</v>
      </c>
      <c r="B74">
        <v>390.46</v>
      </c>
      <c r="C74" t="s">
        <v>72</v>
      </c>
      <c r="G74" s="1">
        <v>46152</v>
      </c>
      <c r="H74">
        <v>423.61</v>
      </c>
      <c r="I74" t="s">
        <v>374</v>
      </c>
      <c r="J74" t="s">
        <v>375</v>
      </c>
    </row>
    <row r="75" spans="1:10" x14ac:dyDescent="0.3">
      <c r="A75" s="1">
        <v>46151</v>
      </c>
      <c r="B75">
        <v>392.51</v>
      </c>
      <c r="C75" t="s">
        <v>121</v>
      </c>
      <c r="G75" s="1">
        <v>46158</v>
      </c>
      <c r="H75">
        <v>425.01</v>
      </c>
      <c r="I75" t="s">
        <v>182</v>
      </c>
      <c r="J75" t="s">
        <v>135</v>
      </c>
    </row>
    <row r="76" spans="1:10" x14ac:dyDescent="0.3">
      <c r="A76" s="1">
        <v>46148</v>
      </c>
      <c r="B76">
        <v>393.32</v>
      </c>
      <c r="C76" t="s">
        <v>88</v>
      </c>
      <c r="G76" s="1">
        <v>46152</v>
      </c>
      <c r="H76">
        <v>427.08</v>
      </c>
      <c r="I76" t="s">
        <v>221</v>
      </c>
      <c r="J76" t="s">
        <v>125</v>
      </c>
    </row>
    <row r="77" spans="1:10" x14ac:dyDescent="0.3">
      <c r="A77" s="1">
        <v>46168</v>
      </c>
      <c r="B77">
        <v>404.51</v>
      </c>
      <c r="C77" t="s">
        <v>37</v>
      </c>
      <c r="G77" s="1">
        <v>46168</v>
      </c>
      <c r="H77">
        <v>433.18</v>
      </c>
      <c r="I77" t="s">
        <v>322</v>
      </c>
      <c r="J77" t="s">
        <v>61</v>
      </c>
    </row>
    <row r="78" spans="1:10" x14ac:dyDescent="0.3">
      <c r="A78" s="1">
        <v>46157</v>
      </c>
      <c r="B78">
        <v>425.01</v>
      </c>
      <c r="C78" t="s">
        <v>135</v>
      </c>
      <c r="G78" s="1">
        <v>46167</v>
      </c>
      <c r="H78">
        <v>444.67</v>
      </c>
      <c r="I78" t="s">
        <v>170</v>
      </c>
      <c r="J78" t="s">
        <v>36</v>
      </c>
    </row>
    <row r="79" spans="1:10" x14ac:dyDescent="0.3">
      <c r="A79" s="1">
        <v>46169</v>
      </c>
      <c r="B79">
        <v>433.18</v>
      </c>
      <c r="C79" t="s">
        <v>61</v>
      </c>
      <c r="G79" s="1">
        <v>46155</v>
      </c>
      <c r="H79">
        <v>456.48</v>
      </c>
      <c r="I79" t="s">
        <v>199</v>
      </c>
      <c r="J79" t="s">
        <v>19</v>
      </c>
    </row>
    <row r="80" spans="1:10" x14ac:dyDescent="0.3">
      <c r="A80" s="1">
        <v>46169</v>
      </c>
      <c r="B80">
        <v>444.67</v>
      </c>
      <c r="C80" t="s">
        <v>36</v>
      </c>
      <c r="G80" s="1">
        <v>46145</v>
      </c>
      <c r="H80">
        <v>468.99</v>
      </c>
      <c r="I80" t="s">
        <v>265</v>
      </c>
      <c r="J80" t="s">
        <v>116</v>
      </c>
    </row>
    <row r="81" spans="1:10" x14ac:dyDescent="0.3">
      <c r="A81" s="1">
        <v>46145</v>
      </c>
      <c r="B81">
        <v>468.99</v>
      </c>
      <c r="C81" t="s">
        <v>116</v>
      </c>
      <c r="G81" s="1">
        <v>46155</v>
      </c>
      <c r="H81">
        <v>472.09</v>
      </c>
      <c r="I81" t="s">
        <v>303</v>
      </c>
      <c r="J81" t="s">
        <v>48</v>
      </c>
    </row>
    <row r="82" spans="1:10" x14ac:dyDescent="0.3">
      <c r="A82" s="1">
        <v>46166</v>
      </c>
      <c r="B82">
        <v>472.66</v>
      </c>
      <c r="C82" t="s">
        <v>23</v>
      </c>
      <c r="G82" s="1">
        <v>46166</v>
      </c>
      <c r="H82">
        <v>472.66</v>
      </c>
      <c r="I82" t="s">
        <v>283</v>
      </c>
      <c r="J82" t="s">
        <v>284</v>
      </c>
    </row>
    <row r="83" spans="1:10" x14ac:dyDescent="0.3">
      <c r="A83" s="1">
        <v>46155</v>
      </c>
      <c r="B83">
        <v>478.55</v>
      </c>
      <c r="C83" t="s">
        <v>106</v>
      </c>
      <c r="G83" s="1">
        <v>46155</v>
      </c>
      <c r="H83">
        <v>477.28</v>
      </c>
      <c r="I83" t="s">
        <v>359</v>
      </c>
      <c r="J83" t="s">
        <v>19</v>
      </c>
    </row>
    <row r="84" spans="1:10" x14ac:dyDescent="0.3">
      <c r="A84" s="1">
        <v>46168</v>
      </c>
      <c r="B84">
        <v>486.73</v>
      </c>
      <c r="C84" t="s">
        <v>20</v>
      </c>
      <c r="G84" s="1">
        <v>46167</v>
      </c>
      <c r="H84">
        <v>478.55</v>
      </c>
      <c r="I84" t="s">
        <v>390</v>
      </c>
      <c r="J84" t="s">
        <v>391</v>
      </c>
    </row>
    <row r="85" spans="1:10" x14ac:dyDescent="0.3">
      <c r="A85" s="1">
        <v>46165</v>
      </c>
      <c r="B85">
        <v>487.24</v>
      </c>
      <c r="C85" t="s">
        <v>33</v>
      </c>
      <c r="G85" s="1">
        <v>46168</v>
      </c>
      <c r="H85">
        <v>486.73</v>
      </c>
      <c r="I85" t="s">
        <v>256</v>
      </c>
      <c r="J85" t="s">
        <v>257</v>
      </c>
    </row>
    <row r="86" spans="1:10" x14ac:dyDescent="0.3">
      <c r="A86" s="1">
        <v>46164</v>
      </c>
      <c r="B86">
        <v>489.15</v>
      </c>
      <c r="C86" t="s">
        <v>64</v>
      </c>
      <c r="G86" s="1">
        <v>46164</v>
      </c>
      <c r="H86">
        <v>487.24</v>
      </c>
      <c r="I86" t="s">
        <v>195</v>
      </c>
      <c r="J86" t="s">
        <v>33</v>
      </c>
    </row>
    <row r="87" spans="1:10" x14ac:dyDescent="0.3">
      <c r="A87" s="1">
        <v>46166</v>
      </c>
      <c r="B87">
        <v>499.47</v>
      </c>
      <c r="C87" t="s">
        <v>9</v>
      </c>
      <c r="G87" s="1">
        <v>46146</v>
      </c>
      <c r="H87">
        <v>489.15</v>
      </c>
      <c r="I87" t="s">
        <v>282</v>
      </c>
      <c r="J87" t="s">
        <v>64</v>
      </c>
    </row>
    <row r="88" spans="1:10" x14ac:dyDescent="0.3">
      <c r="A88" s="1">
        <v>46158</v>
      </c>
      <c r="B88">
        <v>521.33000000000004</v>
      </c>
      <c r="C88" t="s">
        <v>12</v>
      </c>
      <c r="G88" s="1">
        <v>46166</v>
      </c>
      <c r="H88">
        <v>499.47</v>
      </c>
      <c r="I88" t="s">
        <v>214</v>
      </c>
      <c r="J88" t="s">
        <v>9</v>
      </c>
    </row>
    <row r="89" spans="1:10" x14ac:dyDescent="0.3">
      <c r="A89" s="1">
        <v>46160</v>
      </c>
      <c r="B89">
        <v>521.6</v>
      </c>
      <c r="C89" t="s">
        <v>13</v>
      </c>
      <c r="G89" s="1">
        <v>46164</v>
      </c>
      <c r="H89">
        <v>509.81</v>
      </c>
      <c r="I89" t="s">
        <v>313</v>
      </c>
      <c r="J89" t="s">
        <v>130</v>
      </c>
    </row>
    <row r="90" spans="1:10" x14ac:dyDescent="0.3">
      <c r="A90" s="1">
        <v>46158</v>
      </c>
      <c r="B90">
        <v>541.35</v>
      </c>
      <c r="C90" t="s">
        <v>153</v>
      </c>
      <c r="G90" s="1">
        <v>46161</v>
      </c>
      <c r="H90">
        <v>521.33000000000004</v>
      </c>
      <c r="I90" t="s">
        <v>306</v>
      </c>
      <c r="J90" t="s">
        <v>12</v>
      </c>
    </row>
    <row r="91" spans="1:10" x14ac:dyDescent="0.3">
      <c r="A91" s="1">
        <v>46151</v>
      </c>
      <c r="B91">
        <v>546.04</v>
      </c>
      <c r="C91" t="s">
        <v>133</v>
      </c>
      <c r="G91" s="1">
        <v>46164</v>
      </c>
      <c r="H91">
        <v>523.19000000000005</v>
      </c>
      <c r="I91" t="s">
        <v>203</v>
      </c>
      <c r="J91" t="s">
        <v>130</v>
      </c>
    </row>
    <row r="92" spans="1:10" x14ac:dyDescent="0.3">
      <c r="A92" s="1">
        <v>46156</v>
      </c>
      <c r="B92">
        <v>549.4</v>
      </c>
      <c r="C92" t="s">
        <v>55</v>
      </c>
      <c r="G92" s="1">
        <v>46158</v>
      </c>
      <c r="H92">
        <v>541.35</v>
      </c>
      <c r="I92" t="s">
        <v>386</v>
      </c>
      <c r="J92" t="s">
        <v>387</v>
      </c>
    </row>
    <row r="93" spans="1:10" x14ac:dyDescent="0.3">
      <c r="A93" s="1">
        <v>46166</v>
      </c>
      <c r="B93">
        <v>558.58000000000004</v>
      </c>
      <c r="C93" t="s">
        <v>155</v>
      </c>
      <c r="G93" s="1">
        <v>46152</v>
      </c>
      <c r="H93">
        <v>542.41999999999996</v>
      </c>
      <c r="I93" t="s">
        <v>264</v>
      </c>
      <c r="J93" t="s">
        <v>125</v>
      </c>
    </row>
    <row r="94" spans="1:10" x14ac:dyDescent="0.3">
      <c r="A94" s="1">
        <v>46161</v>
      </c>
      <c r="B94">
        <v>562.05999999999995</v>
      </c>
      <c r="C94" t="s">
        <v>7</v>
      </c>
      <c r="G94" s="1">
        <v>46151</v>
      </c>
      <c r="H94">
        <v>545.95000000000005</v>
      </c>
      <c r="I94" t="s">
        <v>302</v>
      </c>
      <c r="J94" t="s">
        <v>133</v>
      </c>
    </row>
    <row r="95" spans="1:10" x14ac:dyDescent="0.3">
      <c r="A95" s="1">
        <v>46161</v>
      </c>
      <c r="B95">
        <v>564.61</v>
      </c>
      <c r="C95" t="s">
        <v>8</v>
      </c>
      <c r="G95" s="1">
        <v>46160</v>
      </c>
      <c r="H95">
        <v>547.41999999999996</v>
      </c>
      <c r="I95" t="s">
        <v>325</v>
      </c>
      <c r="J95" t="s">
        <v>161</v>
      </c>
    </row>
    <row r="96" spans="1:10" x14ac:dyDescent="0.3">
      <c r="A96" s="1">
        <v>46156</v>
      </c>
      <c r="B96">
        <v>574.86</v>
      </c>
      <c r="C96" t="s">
        <v>131</v>
      </c>
      <c r="G96" s="1">
        <v>46167</v>
      </c>
      <c r="H96">
        <v>554.76</v>
      </c>
      <c r="I96" t="s">
        <v>378</v>
      </c>
      <c r="J96" t="s">
        <v>109</v>
      </c>
    </row>
    <row r="97" spans="1:10" x14ac:dyDescent="0.3">
      <c r="A97" s="1">
        <v>46164</v>
      </c>
      <c r="B97">
        <v>576.86</v>
      </c>
      <c r="C97" t="s">
        <v>85</v>
      </c>
      <c r="G97" s="1">
        <v>46169</v>
      </c>
      <c r="H97">
        <v>558.58000000000004</v>
      </c>
      <c r="I97" t="s">
        <v>315</v>
      </c>
      <c r="J97" t="s">
        <v>155</v>
      </c>
    </row>
    <row r="98" spans="1:10" x14ac:dyDescent="0.3">
      <c r="A98" s="1">
        <v>46166</v>
      </c>
      <c r="B98">
        <v>581.47</v>
      </c>
      <c r="C98" t="s">
        <v>49</v>
      </c>
      <c r="G98" s="1">
        <v>46161</v>
      </c>
      <c r="H98">
        <v>562.05999999999995</v>
      </c>
      <c r="I98" t="s">
        <v>224</v>
      </c>
      <c r="J98" t="s">
        <v>7</v>
      </c>
    </row>
    <row r="99" spans="1:10" x14ac:dyDescent="0.3">
      <c r="A99" s="1">
        <v>46165</v>
      </c>
      <c r="B99">
        <v>582.04</v>
      </c>
      <c r="C99" t="s">
        <v>29</v>
      </c>
      <c r="G99" s="1">
        <v>46156</v>
      </c>
      <c r="H99">
        <v>574.86</v>
      </c>
      <c r="I99" t="s">
        <v>352</v>
      </c>
      <c r="J99" t="s">
        <v>131</v>
      </c>
    </row>
    <row r="100" spans="1:10" x14ac:dyDescent="0.3">
      <c r="A100" s="1">
        <v>46161</v>
      </c>
      <c r="B100">
        <v>582.75</v>
      </c>
      <c r="C100" t="s">
        <v>8</v>
      </c>
      <c r="G100" s="1">
        <v>46165</v>
      </c>
      <c r="H100">
        <v>576.86</v>
      </c>
      <c r="I100" t="s">
        <v>377</v>
      </c>
      <c r="J100" t="s">
        <v>85</v>
      </c>
    </row>
    <row r="101" spans="1:10" x14ac:dyDescent="0.3">
      <c r="A101" s="1">
        <v>46158</v>
      </c>
      <c r="B101">
        <v>588.27</v>
      </c>
      <c r="C101" t="s">
        <v>18</v>
      </c>
      <c r="G101" s="1">
        <v>46160</v>
      </c>
      <c r="H101">
        <v>585.59</v>
      </c>
      <c r="I101" t="s">
        <v>361</v>
      </c>
      <c r="J101" t="s">
        <v>51</v>
      </c>
    </row>
    <row r="102" spans="1:10" x14ac:dyDescent="0.3">
      <c r="A102" s="1">
        <v>46151</v>
      </c>
      <c r="B102">
        <v>606.54</v>
      </c>
      <c r="C102" t="s">
        <v>67</v>
      </c>
      <c r="G102" s="1">
        <v>46159</v>
      </c>
      <c r="H102">
        <v>588.27</v>
      </c>
      <c r="I102" t="s">
        <v>382</v>
      </c>
      <c r="J102" t="s">
        <v>18</v>
      </c>
    </row>
    <row r="103" spans="1:10" x14ac:dyDescent="0.3">
      <c r="A103" s="1">
        <v>46166</v>
      </c>
      <c r="B103">
        <v>607.46</v>
      </c>
      <c r="C103" t="s">
        <v>164</v>
      </c>
      <c r="G103" s="1">
        <v>46151</v>
      </c>
      <c r="H103">
        <v>607.46</v>
      </c>
      <c r="I103" t="s">
        <v>334</v>
      </c>
      <c r="J103" t="s">
        <v>164</v>
      </c>
    </row>
    <row r="104" spans="1:10" x14ac:dyDescent="0.3">
      <c r="A104" s="1">
        <v>46165</v>
      </c>
      <c r="B104">
        <v>608.11</v>
      </c>
      <c r="C104" t="s">
        <v>154</v>
      </c>
      <c r="G104" s="1">
        <v>46169</v>
      </c>
      <c r="H104">
        <v>611.72</v>
      </c>
      <c r="I104" t="s">
        <v>287</v>
      </c>
      <c r="J104" t="s">
        <v>288</v>
      </c>
    </row>
    <row r="105" spans="1:10" x14ac:dyDescent="0.3">
      <c r="A105" s="1">
        <v>46172</v>
      </c>
      <c r="B105">
        <v>611.69000000000005</v>
      </c>
      <c r="C105" t="s">
        <v>89</v>
      </c>
      <c r="G105" s="1">
        <v>46172</v>
      </c>
      <c r="H105">
        <v>611.76</v>
      </c>
      <c r="I105" t="s">
        <v>213</v>
      </c>
      <c r="J105" t="s">
        <v>89</v>
      </c>
    </row>
    <row r="106" spans="1:10" x14ac:dyDescent="0.3">
      <c r="A106" s="1">
        <v>46172</v>
      </c>
      <c r="B106">
        <v>611.72</v>
      </c>
      <c r="C106" t="s">
        <v>126</v>
      </c>
      <c r="G106" s="1">
        <v>46157</v>
      </c>
      <c r="H106">
        <v>613.04</v>
      </c>
      <c r="I106" t="s">
        <v>311</v>
      </c>
      <c r="J106" t="s">
        <v>141</v>
      </c>
    </row>
    <row r="107" spans="1:10" x14ac:dyDescent="0.3">
      <c r="A107" s="1">
        <v>46157</v>
      </c>
      <c r="B107">
        <v>613.04</v>
      </c>
      <c r="C107" t="s">
        <v>141</v>
      </c>
      <c r="G107" s="1">
        <v>46160</v>
      </c>
      <c r="H107">
        <v>615.66</v>
      </c>
      <c r="I107" t="s">
        <v>179</v>
      </c>
      <c r="J107" t="s">
        <v>51</v>
      </c>
    </row>
    <row r="108" spans="1:10" x14ac:dyDescent="0.3">
      <c r="A108" s="1">
        <v>46168</v>
      </c>
      <c r="B108">
        <v>616.91</v>
      </c>
      <c r="C108" t="s">
        <v>138</v>
      </c>
      <c r="G108" s="1">
        <v>46168</v>
      </c>
      <c r="H108">
        <v>616.87</v>
      </c>
      <c r="I108" t="s">
        <v>263</v>
      </c>
      <c r="J108" t="s">
        <v>138</v>
      </c>
    </row>
    <row r="109" spans="1:10" x14ac:dyDescent="0.3">
      <c r="A109" s="1">
        <v>46143</v>
      </c>
      <c r="B109">
        <v>630.16999999999996</v>
      </c>
      <c r="C109" t="s">
        <v>81</v>
      </c>
      <c r="G109" s="1">
        <v>46145</v>
      </c>
      <c r="H109">
        <v>630.16999999999996</v>
      </c>
      <c r="I109" t="s">
        <v>227</v>
      </c>
      <c r="J109" t="s">
        <v>228</v>
      </c>
    </row>
    <row r="110" spans="1:10" x14ac:dyDescent="0.3">
      <c r="A110" s="1">
        <v>46148</v>
      </c>
      <c r="B110">
        <v>631.46</v>
      </c>
      <c r="C110" t="s">
        <v>5</v>
      </c>
      <c r="G110" s="1">
        <v>46162</v>
      </c>
      <c r="H110">
        <v>633.41999999999996</v>
      </c>
      <c r="I110" t="s">
        <v>177</v>
      </c>
      <c r="J110" t="s">
        <v>14</v>
      </c>
    </row>
    <row r="111" spans="1:10" x14ac:dyDescent="0.3">
      <c r="A111" s="1">
        <v>46162</v>
      </c>
      <c r="B111">
        <v>633.41999999999996</v>
      </c>
      <c r="C111" t="s">
        <v>14</v>
      </c>
      <c r="G111" s="1">
        <v>46163</v>
      </c>
      <c r="H111">
        <v>638.45000000000005</v>
      </c>
      <c r="I111" t="s">
        <v>351</v>
      </c>
      <c r="J111" t="s">
        <v>41</v>
      </c>
    </row>
    <row r="112" spans="1:10" x14ac:dyDescent="0.3">
      <c r="A112" s="1">
        <v>46167</v>
      </c>
      <c r="B112">
        <v>645.91</v>
      </c>
      <c r="C112" t="s">
        <v>59</v>
      </c>
      <c r="G112" s="1">
        <v>46149</v>
      </c>
      <c r="H112">
        <v>638.69000000000005</v>
      </c>
      <c r="I112" t="s">
        <v>237</v>
      </c>
      <c r="J112" t="s">
        <v>95</v>
      </c>
    </row>
    <row r="113" spans="1:10" x14ac:dyDescent="0.3">
      <c r="A113" s="1">
        <v>46158</v>
      </c>
      <c r="B113">
        <v>647.30999999999995</v>
      </c>
      <c r="C113" t="s">
        <v>28</v>
      </c>
      <c r="G113" s="1">
        <v>46164</v>
      </c>
      <c r="H113">
        <v>645.91</v>
      </c>
      <c r="I113" t="s">
        <v>262</v>
      </c>
      <c r="J113" t="s">
        <v>59</v>
      </c>
    </row>
    <row r="114" spans="1:10" x14ac:dyDescent="0.3">
      <c r="A114" s="1">
        <v>46151</v>
      </c>
      <c r="B114">
        <v>666.26</v>
      </c>
      <c r="C114" t="s">
        <v>40</v>
      </c>
      <c r="G114" s="1">
        <v>46173</v>
      </c>
      <c r="H114">
        <v>655.39</v>
      </c>
      <c r="I114" t="s">
        <v>323</v>
      </c>
      <c r="J114" t="s">
        <v>324</v>
      </c>
    </row>
    <row r="115" spans="1:10" x14ac:dyDescent="0.3">
      <c r="A115" s="1">
        <v>46166</v>
      </c>
      <c r="B115">
        <v>680.76</v>
      </c>
      <c r="C115" t="s">
        <v>49</v>
      </c>
      <c r="G115" s="1">
        <v>46152</v>
      </c>
      <c r="H115">
        <v>668.64</v>
      </c>
      <c r="I115" t="s">
        <v>366</v>
      </c>
      <c r="J115" t="s">
        <v>125</v>
      </c>
    </row>
    <row r="116" spans="1:10" x14ac:dyDescent="0.3">
      <c r="A116" s="1">
        <v>46156</v>
      </c>
      <c r="B116">
        <v>683.63</v>
      </c>
      <c r="C116" t="s">
        <v>55</v>
      </c>
      <c r="G116" s="1">
        <v>46157</v>
      </c>
      <c r="H116">
        <v>685.91</v>
      </c>
      <c r="I116" t="s">
        <v>336</v>
      </c>
      <c r="J116" t="s">
        <v>35</v>
      </c>
    </row>
    <row r="117" spans="1:10" x14ac:dyDescent="0.3">
      <c r="A117" s="1">
        <v>46157</v>
      </c>
      <c r="B117">
        <v>685.91</v>
      </c>
      <c r="C117" t="s">
        <v>35</v>
      </c>
      <c r="G117" s="1">
        <v>46152</v>
      </c>
      <c r="H117">
        <v>694.13</v>
      </c>
      <c r="I117" t="s">
        <v>299</v>
      </c>
      <c r="J117" t="s">
        <v>50</v>
      </c>
    </row>
    <row r="118" spans="1:10" x14ac:dyDescent="0.3">
      <c r="A118" s="1">
        <v>46155</v>
      </c>
      <c r="B118">
        <v>694.13</v>
      </c>
      <c r="C118" t="s">
        <v>50</v>
      </c>
      <c r="G118" s="1">
        <v>46146</v>
      </c>
      <c r="H118">
        <v>706.02</v>
      </c>
      <c r="I118" t="s">
        <v>254</v>
      </c>
      <c r="J118" t="s">
        <v>91</v>
      </c>
    </row>
    <row r="119" spans="1:10" x14ac:dyDescent="0.3">
      <c r="A119" s="1">
        <v>46156</v>
      </c>
      <c r="B119">
        <v>697.48</v>
      </c>
      <c r="C119" t="s">
        <v>55</v>
      </c>
      <c r="G119" s="1">
        <v>46167</v>
      </c>
      <c r="H119">
        <v>706.25</v>
      </c>
      <c r="I119" t="s">
        <v>238</v>
      </c>
      <c r="J119" t="s">
        <v>57</v>
      </c>
    </row>
    <row r="120" spans="1:10" x14ac:dyDescent="0.3">
      <c r="A120" s="1">
        <v>46149</v>
      </c>
      <c r="B120">
        <v>706.02</v>
      </c>
      <c r="C120" t="s">
        <v>91</v>
      </c>
      <c r="G120" s="1">
        <v>46153</v>
      </c>
      <c r="H120">
        <v>708.63</v>
      </c>
      <c r="I120" t="s">
        <v>353</v>
      </c>
      <c r="J120" t="s">
        <v>110</v>
      </c>
    </row>
    <row r="121" spans="1:10" x14ac:dyDescent="0.3">
      <c r="A121" s="1">
        <v>46164</v>
      </c>
      <c r="B121">
        <v>706.25</v>
      </c>
      <c r="C121" t="s">
        <v>57</v>
      </c>
      <c r="G121" s="1">
        <v>46164</v>
      </c>
      <c r="H121">
        <v>725.31</v>
      </c>
      <c r="I121" t="s">
        <v>207</v>
      </c>
      <c r="J121" t="s">
        <v>130</v>
      </c>
    </row>
    <row r="122" spans="1:10" x14ac:dyDescent="0.3">
      <c r="A122" s="1">
        <v>46165</v>
      </c>
      <c r="B122">
        <v>712.35</v>
      </c>
      <c r="C122" t="s">
        <v>29</v>
      </c>
      <c r="G122" s="1">
        <v>46148</v>
      </c>
      <c r="H122">
        <v>725.37</v>
      </c>
      <c r="I122" t="s">
        <v>367</v>
      </c>
      <c r="J122" t="s">
        <v>68</v>
      </c>
    </row>
    <row r="123" spans="1:10" x14ac:dyDescent="0.3">
      <c r="A123" s="1">
        <v>46149</v>
      </c>
      <c r="B123">
        <v>725.37</v>
      </c>
      <c r="C123" t="s">
        <v>68</v>
      </c>
      <c r="G123" s="1">
        <v>46147</v>
      </c>
      <c r="H123">
        <v>725.54</v>
      </c>
      <c r="I123" t="s">
        <v>277</v>
      </c>
      <c r="J123" t="s">
        <v>102</v>
      </c>
    </row>
    <row r="124" spans="1:10" x14ac:dyDescent="0.3">
      <c r="A124" s="1">
        <v>46148</v>
      </c>
      <c r="B124">
        <v>725.54</v>
      </c>
      <c r="C124" t="s">
        <v>102</v>
      </c>
      <c r="G124" s="1">
        <v>46145</v>
      </c>
      <c r="H124">
        <v>728.63</v>
      </c>
      <c r="I124" t="s">
        <v>300</v>
      </c>
      <c r="J124" t="s">
        <v>301</v>
      </c>
    </row>
    <row r="125" spans="1:10" x14ac:dyDescent="0.3">
      <c r="A125" s="1">
        <v>46163</v>
      </c>
      <c r="B125">
        <v>730.03</v>
      </c>
      <c r="C125" t="s">
        <v>107</v>
      </c>
      <c r="G125" s="1">
        <v>46165</v>
      </c>
      <c r="H125">
        <v>730.03</v>
      </c>
      <c r="I125" t="s">
        <v>192</v>
      </c>
      <c r="J125" t="s">
        <v>107</v>
      </c>
    </row>
    <row r="126" spans="1:10" x14ac:dyDescent="0.3">
      <c r="A126" s="1">
        <v>46166</v>
      </c>
      <c r="B126">
        <v>730.61</v>
      </c>
      <c r="C126" t="s">
        <v>49</v>
      </c>
      <c r="G126" s="1">
        <v>46169</v>
      </c>
      <c r="H126">
        <v>741.48</v>
      </c>
      <c r="I126" t="s">
        <v>223</v>
      </c>
      <c r="J126" t="s">
        <v>26</v>
      </c>
    </row>
    <row r="127" spans="1:10" x14ac:dyDescent="0.3">
      <c r="A127" s="1">
        <v>46158</v>
      </c>
      <c r="B127">
        <v>737.39</v>
      </c>
      <c r="C127" t="s">
        <v>28</v>
      </c>
      <c r="G127" s="1">
        <v>46153</v>
      </c>
      <c r="H127">
        <v>745.58</v>
      </c>
      <c r="I127" t="s">
        <v>369</v>
      </c>
      <c r="J127" t="s">
        <v>149</v>
      </c>
    </row>
    <row r="128" spans="1:10" x14ac:dyDescent="0.3">
      <c r="A128" s="1">
        <v>46168</v>
      </c>
      <c r="B128">
        <v>741.48</v>
      </c>
      <c r="C128" t="s">
        <v>26</v>
      </c>
      <c r="G128" s="1">
        <v>46165</v>
      </c>
      <c r="H128">
        <v>745.64</v>
      </c>
      <c r="I128" t="s">
        <v>220</v>
      </c>
      <c r="J128" t="s">
        <v>90</v>
      </c>
    </row>
    <row r="129" spans="1:10" x14ac:dyDescent="0.3">
      <c r="A129" s="1">
        <v>46152</v>
      </c>
      <c r="B129">
        <v>745.58</v>
      </c>
      <c r="C129" t="s">
        <v>149</v>
      </c>
      <c r="G129" s="1">
        <v>46164</v>
      </c>
      <c r="H129">
        <v>746.81</v>
      </c>
      <c r="I129" t="s">
        <v>192</v>
      </c>
      <c r="J129" t="s">
        <v>11</v>
      </c>
    </row>
    <row r="130" spans="1:10" x14ac:dyDescent="0.3">
      <c r="A130" s="1">
        <v>46163</v>
      </c>
      <c r="B130">
        <v>745.64</v>
      </c>
      <c r="C130" t="s">
        <v>90</v>
      </c>
      <c r="G130" s="1">
        <v>46158</v>
      </c>
      <c r="H130">
        <v>751.6</v>
      </c>
      <c r="I130" t="s">
        <v>345</v>
      </c>
      <c r="J130" t="s">
        <v>69</v>
      </c>
    </row>
    <row r="131" spans="1:10" x14ac:dyDescent="0.3">
      <c r="A131" s="1">
        <v>46162</v>
      </c>
      <c r="B131">
        <v>746.81</v>
      </c>
      <c r="C131" t="s">
        <v>11</v>
      </c>
      <c r="G131" s="1">
        <v>46148</v>
      </c>
      <c r="H131">
        <v>755.75</v>
      </c>
      <c r="I131" t="s">
        <v>173</v>
      </c>
      <c r="J131" t="s">
        <v>45</v>
      </c>
    </row>
    <row r="132" spans="1:10" x14ac:dyDescent="0.3">
      <c r="A132" s="1">
        <v>46159</v>
      </c>
      <c r="B132">
        <v>751.6</v>
      </c>
      <c r="C132" t="s">
        <v>69</v>
      </c>
      <c r="G132" s="1">
        <v>46166</v>
      </c>
      <c r="H132">
        <v>756.89</v>
      </c>
      <c r="I132" t="s">
        <v>281</v>
      </c>
      <c r="J132" t="s">
        <v>111</v>
      </c>
    </row>
    <row r="133" spans="1:10" x14ac:dyDescent="0.3">
      <c r="A133" s="1">
        <v>46161</v>
      </c>
      <c r="B133">
        <v>753.52</v>
      </c>
      <c r="C133" t="s">
        <v>8</v>
      </c>
      <c r="G133" s="1">
        <v>46161</v>
      </c>
      <c r="H133">
        <v>760.7</v>
      </c>
      <c r="I133" t="s">
        <v>176</v>
      </c>
      <c r="J133" t="s">
        <v>115</v>
      </c>
    </row>
    <row r="134" spans="1:10" x14ac:dyDescent="0.3">
      <c r="A134" s="1">
        <v>46148</v>
      </c>
      <c r="B134">
        <v>755.75</v>
      </c>
      <c r="C134" t="s">
        <v>45</v>
      </c>
      <c r="G134" s="1">
        <v>46171</v>
      </c>
      <c r="H134">
        <v>764.18</v>
      </c>
      <c r="I134" t="s">
        <v>205</v>
      </c>
      <c r="J134" t="s">
        <v>100</v>
      </c>
    </row>
    <row r="135" spans="1:10" x14ac:dyDescent="0.3">
      <c r="A135" s="1">
        <v>46166</v>
      </c>
      <c r="B135">
        <v>756.89</v>
      </c>
      <c r="C135" t="s">
        <v>111</v>
      </c>
      <c r="G135" s="1">
        <v>46159</v>
      </c>
      <c r="H135">
        <v>770.73</v>
      </c>
      <c r="I135" t="s">
        <v>184</v>
      </c>
      <c r="J135" t="s">
        <v>53</v>
      </c>
    </row>
    <row r="136" spans="1:10" x14ac:dyDescent="0.3">
      <c r="A136" s="1">
        <v>46158</v>
      </c>
      <c r="B136">
        <v>759.32</v>
      </c>
      <c r="C136" t="s">
        <v>28</v>
      </c>
      <c r="G136" s="1">
        <v>46165</v>
      </c>
      <c r="H136">
        <v>772.92</v>
      </c>
      <c r="I136" t="s">
        <v>187</v>
      </c>
      <c r="J136" t="s">
        <v>103</v>
      </c>
    </row>
    <row r="137" spans="1:10" x14ac:dyDescent="0.3">
      <c r="A137" s="1">
        <v>46164</v>
      </c>
      <c r="B137">
        <v>760.7</v>
      </c>
      <c r="C137" t="s">
        <v>115</v>
      </c>
      <c r="G137" s="1">
        <v>46171</v>
      </c>
      <c r="H137">
        <v>775</v>
      </c>
      <c r="I137" t="s">
        <v>346</v>
      </c>
      <c r="J137" t="s">
        <v>42</v>
      </c>
    </row>
    <row r="138" spans="1:10" x14ac:dyDescent="0.3">
      <c r="A138" s="1">
        <v>46171</v>
      </c>
      <c r="B138">
        <v>764.18</v>
      </c>
      <c r="C138" t="s">
        <v>100</v>
      </c>
      <c r="G138" s="1">
        <v>46153</v>
      </c>
      <c r="H138">
        <v>775.66</v>
      </c>
      <c r="I138" t="s">
        <v>312</v>
      </c>
      <c r="J138" t="s">
        <v>110</v>
      </c>
    </row>
    <row r="139" spans="1:10" x14ac:dyDescent="0.3">
      <c r="A139" s="1">
        <v>46151</v>
      </c>
      <c r="B139">
        <v>766.72</v>
      </c>
      <c r="C139" t="s">
        <v>67</v>
      </c>
      <c r="G139" s="1">
        <v>46158</v>
      </c>
      <c r="H139">
        <v>778.97</v>
      </c>
      <c r="I139" t="s">
        <v>355</v>
      </c>
      <c r="J139" t="s">
        <v>356</v>
      </c>
    </row>
    <row r="140" spans="1:10" x14ac:dyDescent="0.3">
      <c r="A140" s="1">
        <v>46161</v>
      </c>
      <c r="B140">
        <v>770.73</v>
      </c>
      <c r="C140" t="s">
        <v>53</v>
      </c>
      <c r="G140" s="1">
        <v>46150</v>
      </c>
      <c r="H140">
        <v>781.64</v>
      </c>
      <c r="I140" t="s">
        <v>244</v>
      </c>
      <c r="J140" t="s">
        <v>159</v>
      </c>
    </row>
    <row r="141" spans="1:10" x14ac:dyDescent="0.3">
      <c r="A141" s="1">
        <v>46165</v>
      </c>
      <c r="B141">
        <v>772.92</v>
      </c>
      <c r="C141" t="s">
        <v>103</v>
      </c>
      <c r="G141" s="1">
        <v>46172</v>
      </c>
      <c r="H141">
        <v>785.29</v>
      </c>
      <c r="I141" t="s">
        <v>276</v>
      </c>
      <c r="J141" t="s">
        <v>43</v>
      </c>
    </row>
    <row r="142" spans="1:10" x14ac:dyDescent="0.3">
      <c r="A142" s="1">
        <v>46171</v>
      </c>
      <c r="B142">
        <v>775</v>
      </c>
      <c r="C142" t="s">
        <v>42</v>
      </c>
      <c r="G142" s="1">
        <v>46151</v>
      </c>
      <c r="H142">
        <v>785.53</v>
      </c>
      <c r="I142" t="s">
        <v>250</v>
      </c>
      <c r="J142" t="s">
        <v>251</v>
      </c>
    </row>
    <row r="143" spans="1:10" x14ac:dyDescent="0.3">
      <c r="A143" s="1">
        <v>46163</v>
      </c>
      <c r="B143">
        <v>778.97</v>
      </c>
      <c r="C143" t="s">
        <v>156</v>
      </c>
      <c r="G143" s="1">
        <v>46153</v>
      </c>
      <c r="H143">
        <v>786.46</v>
      </c>
      <c r="I143" t="s">
        <v>357</v>
      </c>
      <c r="J143" t="s">
        <v>151</v>
      </c>
    </row>
    <row r="144" spans="1:10" x14ac:dyDescent="0.3">
      <c r="A144" s="1">
        <v>46171</v>
      </c>
      <c r="B144">
        <v>781.64</v>
      </c>
      <c r="C144" t="s">
        <v>159</v>
      </c>
      <c r="G144" s="1">
        <v>46151</v>
      </c>
      <c r="H144">
        <v>788.01</v>
      </c>
      <c r="I144" t="s">
        <v>174</v>
      </c>
      <c r="J144" t="s">
        <v>162</v>
      </c>
    </row>
    <row r="145" spans="1:10" x14ac:dyDescent="0.3">
      <c r="A145" s="1">
        <v>46172</v>
      </c>
      <c r="B145">
        <v>785.26</v>
      </c>
      <c r="C145" t="s">
        <v>43</v>
      </c>
      <c r="G145" s="1">
        <v>46155</v>
      </c>
      <c r="H145">
        <v>791.11</v>
      </c>
      <c r="I145" t="s">
        <v>343</v>
      </c>
      <c r="J145" t="s">
        <v>48</v>
      </c>
    </row>
    <row r="146" spans="1:10" x14ac:dyDescent="0.3">
      <c r="A146" s="1">
        <v>46151</v>
      </c>
      <c r="B146">
        <v>785.53</v>
      </c>
      <c r="C146">
        <v>79825</v>
      </c>
      <c r="G146" s="1">
        <v>46144</v>
      </c>
      <c r="H146">
        <v>793.16</v>
      </c>
      <c r="I146" t="s">
        <v>240</v>
      </c>
      <c r="J146" t="s">
        <v>241</v>
      </c>
    </row>
    <row r="147" spans="1:10" x14ac:dyDescent="0.3">
      <c r="A147" s="1">
        <v>46152</v>
      </c>
      <c r="B147">
        <v>786.46</v>
      </c>
      <c r="C147" t="s">
        <v>151</v>
      </c>
      <c r="G147" s="1">
        <v>46158</v>
      </c>
      <c r="H147">
        <v>795.46</v>
      </c>
      <c r="I147" t="s">
        <v>358</v>
      </c>
      <c r="J147" t="s">
        <v>137</v>
      </c>
    </row>
    <row r="148" spans="1:10" x14ac:dyDescent="0.3">
      <c r="A148" s="1">
        <v>46153</v>
      </c>
      <c r="B148">
        <v>788.01</v>
      </c>
      <c r="C148" t="s">
        <v>162</v>
      </c>
      <c r="G148" s="1">
        <v>46155</v>
      </c>
      <c r="H148">
        <v>801.87</v>
      </c>
      <c r="I148" t="s">
        <v>267</v>
      </c>
      <c r="J148" t="s">
        <v>117</v>
      </c>
    </row>
    <row r="149" spans="1:10" x14ac:dyDescent="0.3">
      <c r="A149" s="1">
        <v>46150</v>
      </c>
      <c r="B149">
        <v>793.16</v>
      </c>
      <c r="C149" t="s">
        <v>152</v>
      </c>
      <c r="G149" s="1">
        <v>46158</v>
      </c>
      <c r="H149">
        <v>802.03</v>
      </c>
      <c r="I149" t="s">
        <v>216</v>
      </c>
      <c r="J149" t="s">
        <v>31</v>
      </c>
    </row>
    <row r="150" spans="1:10" x14ac:dyDescent="0.3">
      <c r="A150" s="1">
        <v>46155</v>
      </c>
      <c r="B150">
        <v>795.46</v>
      </c>
      <c r="C150" t="s">
        <v>137</v>
      </c>
      <c r="G150" s="1">
        <v>46152</v>
      </c>
      <c r="H150">
        <v>803.1</v>
      </c>
      <c r="I150" t="s">
        <v>309</v>
      </c>
      <c r="J150" t="s">
        <v>310</v>
      </c>
    </row>
    <row r="151" spans="1:10" x14ac:dyDescent="0.3">
      <c r="A151" s="1">
        <v>46152</v>
      </c>
      <c r="B151">
        <v>801.87</v>
      </c>
      <c r="C151" t="s">
        <v>117</v>
      </c>
      <c r="G151" s="1">
        <v>46168</v>
      </c>
      <c r="H151">
        <v>804.32</v>
      </c>
      <c r="I151" t="s">
        <v>204</v>
      </c>
      <c r="J151" t="s">
        <v>148</v>
      </c>
    </row>
    <row r="152" spans="1:10" x14ac:dyDescent="0.3">
      <c r="A152" s="1">
        <v>46159</v>
      </c>
      <c r="B152">
        <v>802.03</v>
      </c>
      <c r="C152" t="s">
        <v>31</v>
      </c>
      <c r="G152" s="1">
        <v>46160</v>
      </c>
      <c r="H152">
        <v>810</v>
      </c>
      <c r="I152" t="s">
        <v>373</v>
      </c>
      <c r="J152" t="s">
        <v>51</v>
      </c>
    </row>
    <row r="153" spans="1:10" x14ac:dyDescent="0.3">
      <c r="A153" s="1">
        <v>46152</v>
      </c>
      <c r="B153">
        <v>803.1</v>
      </c>
      <c r="C153" t="s">
        <v>157</v>
      </c>
      <c r="G153" s="1">
        <v>46173</v>
      </c>
      <c r="H153">
        <v>810.27</v>
      </c>
      <c r="I153" t="s">
        <v>268</v>
      </c>
      <c r="J153" t="s">
        <v>3</v>
      </c>
    </row>
    <row r="154" spans="1:10" x14ac:dyDescent="0.3">
      <c r="A154" s="1">
        <v>46173</v>
      </c>
      <c r="B154">
        <v>810.27</v>
      </c>
      <c r="C154" t="s">
        <v>3</v>
      </c>
      <c r="G154" s="1">
        <v>46154</v>
      </c>
      <c r="H154">
        <v>816.09</v>
      </c>
      <c r="I154" t="s">
        <v>316</v>
      </c>
      <c r="J154" t="s">
        <v>30</v>
      </c>
    </row>
    <row r="155" spans="1:10" x14ac:dyDescent="0.3">
      <c r="A155" s="1">
        <v>46161</v>
      </c>
      <c r="B155">
        <v>810.59</v>
      </c>
      <c r="C155" t="s">
        <v>8</v>
      </c>
      <c r="G155" s="1">
        <v>46155</v>
      </c>
      <c r="H155">
        <v>816.36</v>
      </c>
      <c r="I155" t="s">
        <v>248</v>
      </c>
      <c r="J155" t="s">
        <v>124</v>
      </c>
    </row>
    <row r="156" spans="1:10" x14ac:dyDescent="0.3">
      <c r="A156" s="1">
        <v>46165</v>
      </c>
      <c r="B156">
        <v>814.71</v>
      </c>
      <c r="C156" t="s">
        <v>63</v>
      </c>
      <c r="G156" s="1">
        <v>46154</v>
      </c>
      <c r="H156">
        <v>820.55</v>
      </c>
      <c r="I156" t="s">
        <v>201</v>
      </c>
      <c r="J156" t="s">
        <v>44</v>
      </c>
    </row>
    <row r="157" spans="1:10" x14ac:dyDescent="0.3">
      <c r="A157" s="1">
        <v>46160</v>
      </c>
      <c r="B157">
        <v>815.48</v>
      </c>
      <c r="C157" t="s">
        <v>13</v>
      </c>
      <c r="G157" s="1">
        <v>46159</v>
      </c>
      <c r="H157">
        <v>829.62</v>
      </c>
      <c r="I157" t="s">
        <v>338</v>
      </c>
      <c r="J157" t="s">
        <v>112</v>
      </c>
    </row>
    <row r="158" spans="1:10" x14ac:dyDescent="0.3">
      <c r="A158" s="1">
        <v>46170</v>
      </c>
      <c r="B158">
        <v>816.09</v>
      </c>
      <c r="C158" t="s">
        <v>30</v>
      </c>
      <c r="G158" s="1">
        <v>46165</v>
      </c>
      <c r="H158">
        <v>833.35</v>
      </c>
      <c r="I158" t="s">
        <v>242</v>
      </c>
      <c r="J158" t="s">
        <v>150</v>
      </c>
    </row>
    <row r="159" spans="1:10" x14ac:dyDescent="0.3">
      <c r="A159" s="1">
        <v>46156</v>
      </c>
      <c r="B159">
        <v>820.55</v>
      </c>
      <c r="C159" t="s">
        <v>44</v>
      </c>
      <c r="G159" s="1">
        <v>46167</v>
      </c>
      <c r="H159">
        <v>834.73</v>
      </c>
      <c r="I159" t="s">
        <v>294</v>
      </c>
      <c r="J159" t="s">
        <v>109</v>
      </c>
    </row>
    <row r="160" spans="1:10" x14ac:dyDescent="0.3">
      <c r="A160" s="1">
        <v>46151</v>
      </c>
      <c r="B160">
        <v>823.69</v>
      </c>
      <c r="C160" t="s">
        <v>67</v>
      </c>
      <c r="G160" s="1">
        <v>46168</v>
      </c>
      <c r="H160">
        <v>838.94</v>
      </c>
      <c r="I160" t="s">
        <v>292</v>
      </c>
      <c r="J160" t="s">
        <v>24</v>
      </c>
    </row>
    <row r="161" spans="1:10" x14ac:dyDescent="0.3">
      <c r="A161" s="1">
        <v>46159</v>
      </c>
      <c r="B161">
        <v>829.62</v>
      </c>
      <c r="C161" t="s">
        <v>112</v>
      </c>
      <c r="G161" s="1">
        <v>46161</v>
      </c>
      <c r="H161">
        <v>839.4</v>
      </c>
      <c r="I161" t="s">
        <v>231</v>
      </c>
      <c r="J161" t="s">
        <v>104</v>
      </c>
    </row>
    <row r="162" spans="1:10" x14ac:dyDescent="0.3">
      <c r="A162" s="1">
        <v>46162</v>
      </c>
      <c r="B162">
        <v>833.35</v>
      </c>
      <c r="C162" t="s">
        <v>150</v>
      </c>
      <c r="G162" s="1">
        <v>46166</v>
      </c>
      <c r="H162">
        <v>846.15</v>
      </c>
      <c r="I162" t="s">
        <v>172</v>
      </c>
      <c r="J162" t="s">
        <v>80</v>
      </c>
    </row>
    <row r="163" spans="1:10" x14ac:dyDescent="0.3">
      <c r="A163" s="1">
        <v>46168</v>
      </c>
      <c r="B163">
        <v>838.94</v>
      </c>
      <c r="C163" t="s">
        <v>24</v>
      </c>
      <c r="G163" s="1">
        <v>46154</v>
      </c>
      <c r="H163">
        <v>847.4</v>
      </c>
      <c r="I163" t="s">
        <v>319</v>
      </c>
      <c r="J163" t="s">
        <v>320</v>
      </c>
    </row>
    <row r="164" spans="1:10" x14ac:dyDescent="0.3">
      <c r="A164" s="1">
        <v>46161</v>
      </c>
      <c r="B164">
        <v>839.4</v>
      </c>
      <c r="C164" t="s">
        <v>104</v>
      </c>
      <c r="G164" s="1">
        <v>46149</v>
      </c>
      <c r="H164">
        <v>848.99</v>
      </c>
      <c r="I164" t="s">
        <v>297</v>
      </c>
      <c r="J164" t="s">
        <v>146</v>
      </c>
    </row>
    <row r="165" spans="1:10" x14ac:dyDescent="0.3">
      <c r="A165" s="1">
        <v>46166</v>
      </c>
      <c r="B165">
        <v>846.15</v>
      </c>
      <c r="C165" t="s">
        <v>80</v>
      </c>
      <c r="G165" s="1">
        <v>46160</v>
      </c>
      <c r="H165">
        <v>849.62</v>
      </c>
      <c r="I165" t="s">
        <v>186</v>
      </c>
      <c r="J165" t="s">
        <v>143</v>
      </c>
    </row>
    <row r="166" spans="1:10" x14ac:dyDescent="0.3">
      <c r="A166" s="1">
        <v>46154</v>
      </c>
      <c r="B166">
        <v>847.4</v>
      </c>
      <c r="C166" t="s">
        <v>99</v>
      </c>
      <c r="G166" s="1">
        <v>46165</v>
      </c>
      <c r="H166">
        <v>849.94</v>
      </c>
      <c r="I166" t="s">
        <v>180</v>
      </c>
      <c r="J166" t="s">
        <v>32</v>
      </c>
    </row>
    <row r="167" spans="1:10" x14ac:dyDescent="0.3">
      <c r="A167" s="1">
        <v>46149</v>
      </c>
      <c r="B167">
        <v>848.99</v>
      </c>
      <c r="C167" t="s">
        <v>146</v>
      </c>
      <c r="G167" s="1">
        <v>46169</v>
      </c>
      <c r="H167">
        <v>850.89</v>
      </c>
      <c r="I167" t="s">
        <v>212</v>
      </c>
      <c r="J167" t="s">
        <v>114</v>
      </c>
    </row>
    <row r="168" spans="1:10" x14ac:dyDescent="0.3">
      <c r="A168" s="1">
        <v>46160</v>
      </c>
      <c r="B168">
        <v>849.62</v>
      </c>
      <c r="C168" t="s">
        <v>143</v>
      </c>
      <c r="G168" s="1">
        <v>46165</v>
      </c>
      <c r="H168">
        <v>856.52</v>
      </c>
      <c r="I168" t="s">
        <v>261</v>
      </c>
      <c r="J168" t="s">
        <v>71</v>
      </c>
    </row>
    <row r="169" spans="1:10" x14ac:dyDescent="0.3">
      <c r="A169" s="1">
        <v>46165</v>
      </c>
      <c r="B169">
        <v>849.94</v>
      </c>
      <c r="C169" t="s">
        <v>32</v>
      </c>
      <c r="G169" s="1">
        <v>46167</v>
      </c>
      <c r="H169">
        <v>863.35</v>
      </c>
      <c r="I169" t="s">
        <v>385</v>
      </c>
      <c r="J169" t="s">
        <v>147</v>
      </c>
    </row>
    <row r="170" spans="1:10" x14ac:dyDescent="0.3">
      <c r="A170" s="1">
        <v>46167</v>
      </c>
      <c r="B170">
        <v>850.89</v>
      </c>
      <c r="C170" t="s">
        <v>114</v>
      </c>
      <c r="G170" s="1">
        <v>46164</v>
      </c>
      <c r="H170">
        <v>872.03</v>
      </c>
      <c r="I170" t="s">
        <v>365</v>
      </c>
      <c r="J170" t="s">
        <v>130</v>
      </c>
    </row>
    <row r="171" spans="1:10" x14ac:dyDescent="0.3">
      <c r="A171" s="1">
        <v>46165</v>
      </c>
      <c r="B171">
        <v>853.11</v>
      </c>
      <c r="C171" t="s">
        <v>29</v>
      </c>
      <c r="G171" s="1">
        <v>46160</v>
      </c>
      <c r="H171">
        <v>877.19</v>
      </c>
      <c r="I171" t="s">
        <v>191</v>
      </c>
      <c r="J171" t="s">
        <v>161</v>
      </c>
    </row>
    <row r="172" spans="1:10" x14ac:dyDescent="0.3">
      <c r="A172" s="1">
        <v>46167</v>
      </c>
      <c r="B172">
        <v>856.52</v>
      </c>
      <c r="C172" t="s">
        <v>71</v>
      </c>
      <c r="G172" s="1">
        <v>46168</v>
      </c>
      <c r="H172">
        <v>877.19</v>
      </c>
      <c r="I172" t="s">
        <v>245</v>
      </c>
      <c r="J172" t="s">
        <v>47</v>
      </c>
    </row>
    <row r="173" spans="1:10" x14ac:dyDescent="0.3">
      <c r="A173" s="1">
        <v>46167</v>
      </c>
      <c r="B173">
        <v>863.43</v>
      </c>
      <c r="C173" t="s">
        <v>147</v>
      </c>
      <c r="G173" s="1">
        <v>46156</v>
      </c>
      <c r="H173">
        <v>879.52</v>
      </c>
      <c r="I173" t="s">
        <v>171</v>
      </c>
      <c r="J173" t="s">
        <v>17</v>
      </c>
    </row>
    <row r="174" spans="1:10" x14ac:dyDescent="0.3">
      <c r="A174" s="1">
        <v>46155</v>
      </c>
      <c r="B174">
        <v>873.39</v>
      </c>
      <c r="C174" t="s">
        <v>124</v>
      </c>
      <c r="G174" s="1">
        <v>46162</v>
      </c>
      <c r="H174">
        <v>881.15</v>
      </c>
      <c r="I174" t="s">
        <v>266</v>
      </c>
      <c r="J174" t="s">
        <v>87</v>
      </c>
    </row>
    <row r="175" spans="1:10" x14ac:dyDescent="0.3">
      <c r="A175" s="1">
        <v>46153</v>
      </c>
      <c r="B175">
        <v>877.19</v>
      </c>
      <c r="C175" t="s">
        <v>47</v>
      </c>
      <c r="G175" s="1">
        <v>46155</v>
      </c>
      <c r="H175">
        <v>886.12</v>
      </c>
      <c r="I175" t="s">
        <v>304</v>
      </c>
      <c r="J175" t="s">
        <v>48</v>
      </c>
    </row>
    <row r="176" spans="1:10" x14ac:dyDescent="0.3">
      <c r="A176" s="1">
        <v>46162</v>
      </c>
      <c r="B176">
        <v>881.15</v>
      </c>
      <c r="C176" t="s">
        <v>87</v>
      </c>
      <c r="G176" s="1">
        <v>46167</v>
      </c>
      <c r="H176">
        <v>897.35</v>
      </c>
      <c r="I176" t="s">
        <v>327</v>
      </c>
      <c r="J176" t="s">
        <v>328</v>
      </c>
    </row>
    <row r="177" spans="1:10" x14ac:dyDescent="0.3">
      <c r="A177" s="1">
        <v>46163</v>
      </c>
      <c r="B177">
        <v>890.96</v>
      </c>
      <c r="C177" t="s">
        <v>41</v>
      </c>
      <c r="G177" s="1">
        <v>46148</v>
      </c>
      <c r="H177">
        <v>905.17</v>
      </c>
      <c r="I177" t="s">
        <v>330</v>
      </c>
      <c r="J177" t="s">
        <v>70</v>
      </c>
    </row>
    <row r="178" spans="1:10" x14ac:dyDescent="0.3">
      <c r="A178" s="1">
        <v>46167</v>
      </c>
      <c r="B178">
        <v>897.35</v>
      </c>
      <c r="C178" t="s">
        <v>127</v>
      </c>
      <c r="G178" s="1">
        <v>46157</v>
      </c>
      <c r="H178">
        <v>909.31</v>
      </c>
      <c r="I178" t="s">
        <v>280</v>
      </c>
      <c r="J178" t="s">
        <v>66</v>
      </c>
    </row>
    <row r="179" spans="1:10" x14ac:dyDescent="0.3">
      <c r="A179" s="1">
        <v>46148</v>
      </c>
      <c r="B179">
        <v>905.17</v>
      </c>
      <c r="C179" t="s">
        <v>70</v>
      </c>
      <c r="G179" s="1">
        <v>46148</v>
      </c>
      <c r="H179">
        <v>915.6</v>
      </c>
      <c r="I179" t="s">
        <v>217</v>
      </c>
      <c r="J179" t="s">
        <v>15</v>
      </c>
    </row>
    <row r="180" spans="1:10" x14ac:dyDescent="0.3">
      <c r="A180" s="1">
        <v>46158</v>
      </c>
      <c r="B180">
        <v>909.31</v>
      </c>
      <c r="C180" t="s">
        <v>66</v>
      </c>
      <c r="G180" s="1">
        <v>46148</v>
      </c>
      <c r="H180">
        <v>929.49</v>
      </c>
      <c r="I180" t="s">
        <v>354</v>
      </c>
      <c r="J180" t="s">
        <v>5</v>
      </c>
    </row>
    <row r="181" spans="1:10" x14ac:dyDescent="0.3">
      <c r="A181" s="1">
        <v>46147</v>
      </c>
      <c r="B181">
        <v>915.6</v>
      </c>
      <c r="C181" t="s">
        <v>15</v>
      </c>
      <c r="G181" s="1">
        <v>46158</v>
      </c>
      <c r="H181">
        <v>933.88</v>
      </c>
      <c r="I181" t="s">
        <v>253</v>
      </c>
      <c r="J181" t="s">
        <v>165</v>
      </c>
    </row>
    <row r="182" spans="1:10" x14ac:dyDescent="0.3">
      <c r="A182" s="1">
        <v>46155</v>
      </c>
      <c r="B182">
        <v>933.76</v>
      </c>
      <c r="C182" t="s">
        <v>19</v>
      </c>
      <c r="G182" s="1">
        <v>46153</v>
      </c>
      <c r="H182">
        <v>935.28</v>
      </c>
      <c r="I182" t="s">
        <v>196</v>
      </c>
      <c r="J182" t="s">
        <v>110</v>
      </c>
    </row>
    <row r="183" spans="1:10" x14ac:dyDescent="0.3">
      <c r="A183" s="1">
        <v>46158</v>
      </c>
      <c r="B183">
        <v>933.88</v>
      </c>
      <c r="C183" t="s">
        <v>165</v>
      </c>
      <c r="G183" s="1">
        <v>46156</v>
      </c>
      <c r="H183">
        <v>935.31</v>
      </c>
      <c r="I183" t="s">
        <v>188</v>
      </c>
      <c r="J183" t="s">
        <v>189</v>
      </c>
    </row>
    <row r="184" spans="1:10" x14ac:dyDescent="0.3">
      <c r="A184" s="1">
        <v>46156</v>
      </c>
      <c r="B184">
        <v>935.31</v>
      </c>
      <c r="C184">
        <v>850762</v>
      </c>
      <c r="G184" s="1">
        <v>46155</v>
      </c>
      <c r="H184">
        <v>938.38</v>
      </c>
      <c r="I184" t="s">
        <v>269</v>
      </c>
      <c r="J184" t="s">
        <v>6</v>
      </c>
    </row>
    <row r="185" spans="1:10" x14ac:dyDescent="0.3">
      <c r="A185" s="1">
        <v>46165</v>
      </c>
      <c r="B185">
        <v>940.09</v>
      </c>
      <c r="C185" t="s">
        <v>63</v>
      </c>
      <c r="G185" s="1">
        <v>46155</v>
      </c>
      <c r="H185">
        <v>946.2</v>
      </c>
      <c r="I185" t="s">
        <v>260</v>
      </c>
      <c r="J185" t="s">
        <v>6</v>
      </c>
    </row>
    <row r="186" spans="1:10" x14ac:dyDescent="0.3">
      <c r="A186" s="1">
        <v>46154</v>
      </c>
      <c r="B186">
        <v>947.16</v>
      </c>
      <c r="C186" t="s">
        <v>73</v>
      </c>
      <c r="G186" s="1">
        <v>46145</v>
      </c>
      <c r="H186">
        <v>949.1</v>
      </c>
      <c r="I186" t="s">
        <v>198</v>
      </c>
      <c r="J186" t="s">
        <v>16</v>
      </c>
    </row>
    <row r="187" spans="1:10" x14ac:dyDescent="0.3">
      <c r="A187" s="1">
        <v>46145</v>
      </c>
      <c r="B187">
        <v>949.1</v>
      </c>
      <c r="C187" t="s">
        <v>16</v>
      </c>
      <c r="G187" s="1">
        <v>46159</v>
      </c>
      <c r="H187">
        <v>949.36</v>
      </c>
      <c r="I187" t="s">
        <v>270</v>
      </c>
      <c r="J187" t="s">
        <v>271</v>
      </c>
    </row>
    <row r="188" spans="1:10" x14ac:dyDescent="0.3">
      <c r="A188" s="1">
        <v>46159</v>
      </c>
      <c r="B188">
        <v>949.36</v>
      </c>
      <c r="C188" t="s">
        <v>94</v>
      </c>
      <c r="G188" s="1">
        <v>46146</v>
      </c>
      <c r="H188">
        <v>959.36</v>
      </c>
      <c r="I188" t="s">
        <v>347</v>
      </c>
      <c r="J188" t="s">
        <v>348</v>
      </c>
    </row>
    <row r="189" spans="1:10" x14ac:dyDescent="0.3">
      <c r="A189" s="1">
        <v>46170</v>
      </c>
      <c r="B189">
        <v>950.77</v>
      </c>
      <c r="C189" t="s">
        <v>98</v>
      </c>
      <c r="G189" s="1">
        <v>46151</v>
      </c>
      <c r="H189">
        <v>964.67</v>
      </c>
      <c r="I189" t="s">
        <v>362</v>
      </c>
      <c r="J189" t="s">
        <v>122</v>
      </c>
    </row>
    <row r="190" spans="1:10" x14ac:dyDescent="0.3">
      <c r="A190" s="1">
        <v>46155</v>
      </c>
      <c r="B190">
        <v>959.36</v>
      </c>
      <c r="C190">
        <v>693107</v>
      </c>
      <c r="G190" s="1">
        <v>46160</v>
      </c>
      <c r="H190">
        <v>976.01</v>
      </c>
      <c r="I190" t="s">
        <v>185</v>
      </c>
      <c r="J190" t="s">
        <v>46</v>
      </c>
    </row>
    <row r="191" spans="1:10" x14ac:dyDescent="0.3">
      <c r="A191" s="1">
        <v>46168</v>
      </c>
      <c r="B191">
        <v>961.95</v>
      </c>
      <c r="C191" t="s">
        <v>148</v>
      </c>
      <c r="G191" s="1">
        <v>46152</v>
      </c>
      <c r="H191">
        <v>978.76</v>
      </c>
      <c r="I191" t="s">
        <v>342</v>
      </c>
      <c r="J191" t="s">
        <v>145</v>
      </c>
    </row>
    <row r="192" spans="1:10" x14ac:dyDescent="0.3">
      <c r="A192" s="1">
        <v>46170</v>
      </c>
      <c r="B192">
        <v>964.67</v>
      </c>
      <c r="C192" t="s">
        <v>122</v>
      </c>
      <c r="G192" s="1">
        <v>46155</v>
      </c>
      <c r="H192">
        <v>990.12</v>
      </c>
      <c r="I192" t="s">
        <v>183</v>
      </c>
      <c r="J192" t="s">
        <v>6</v>
      </c>
    </row>
    <row r="193" spans="1:10" x14ac:dyDescent="0.3">
      <c r="A193" s="1">
        <v>46165</v>
      </c>
      <c r="B193">
        <v>975.81</v>
      </c>
      <c r="C193" t="s">
        <v>29</v>
      </c>
      <c r="G193" s="1">
        <v>46152</v>
      </c>
      <c r="H193">
        <v>997.24</v>
      </c>
      <c r="I193" t="s">
        <v>175</v>
      </c>
      <c r="J193" t="s">
        <v>39</v>
      </c>
    </row>
    <row r="194" spans="1:10" x14ac:dyDescent="0.3">
      <c r="A194" s="1">
        <v>46152</v>
      </c>
      <c r="B194">
        <v>978.76</v>
      </c>
      <c r="C194" t="s">
        <v>145</v>
      </c>
      <c r="G194" s="1">
        <v>46155</v>
      </c>
      <c r="H194">
        <v>999.8</v>
      </c>
      <c r="I194" t="s">
        <v>321</v>
      </c>
      <c r="J194" t="s">
        <v>48</v>
      </c>
    </row>
    <row r="195" spans="1:10" x14ac:dyDescent="0.3">
      <c r="A195" s="1">
        <v>46156</v>
      </c>
      <c r="B195">
        <v>985.11</v>
      </c>
      <c r="C195" t="s">
        <v>17</v>
      </c>
      <c r="G195" s="1">
        <v>46144</v>
      </c>
      <c r="H195">
        <v>1196.21</v>
      </c>
      <c r="I195" t="s">
        <v>197</v>
      </c>
      <c r="J195" t="s">
        <v>52</v>
      </c>
    </row>
    <row r="196" spans="1:10" x14ac:dyDescent="0.3">
      <c r="A196" s="1">
        <v>46151</v>
      </c>
      <c r="B196">
        <v>997.24</v>
      </c>
      <c r="C196" t="s">
        <v>39</v>
      </c>
      <c r="G196" s="1">
        <v>46151</v>
      </c>
      <c r="H196">
        <v>1211.18</v>
      </c>
      <c r="I196" t="s">
        <v>258</v>
      </c>
      <c r="J196" t="s">
        <v>40</v>
      </c>
    </row>
    <row r="197" spans="1:10" x14ac:dyDescent="0.3">
      <c r="A197" s="1">
        <v>46149</v>
      </c>
      <c r="B197">
        <v>1090.8900000000001</v>
      </c>
      <c r="C197" t="s">
        <v>95</v>
      </c>
      <c r="G197" s="1">
        <v>46170</v>
      </c>
      <c r="H197">
        <v>1214.6600000000001</v>
      </c>
      <c r="I197" t="s">
        <v>364</v>
      </c>
      <c r="J197" t="s">
        <v>98</v>
      </c>
    </row>
    <row r="198" spans="1:10" x14ac:dyDescent="0.3">
      <c r="A198" s="1">
        <v>46160</v>
      </c>
      <c r="B198">
        <v>1218.6400000000001</v>
      </c>
      <c r="C198" t="s">
        <v>46</v>
      </c>
      <c r="G198" s="1">
        <v>46160</v>
      </c>
      <c r="H198">
        <v>1337.08</v>
      </c>
      <c r="I198" t="s">
        <v>332</v>
      </c>
      <c r="J198" t="s">
        <v>13</v>
      </c>
    </row>
    <row r="199" spans="1:10" x14ac:dyDescent="0.3">
      <c r="A199" s="1">
        <v>46167</v>
      </c>
      <c r="B199">
        <v>1389.49</v>
      </c>
      <c r="C199" t="s">
        <v>109</v>
      </c>
      <c r="G199" s="1">
        <v>46154</v>
      </c>
      <c r="H199">
        <v>1474.54</v>
      </c>
      <c r="I199" t="s">
        <v>368</v>
      </c>
      <c r="J199" t="s">
        <v>73</v>
      </c>
    </row>
    <row r="200" spans="1:10" x14ac:dyDescent="0.3">
      <c r="A200" s="1">
        <v>46160</v>
      </c>
      <c r="B200">
        <v>1543.07</v>
      </c>
      <c r="C200" t="s">
        <v>161</v>
      </c>
      <c r="G200" s="1">
        <v>46165</v>
      </c>
      <c r="H200">
        <v>1879.86</v>
      </c>
      <c r="I200" t="s">
        <v>279</v>
      </c>
      <c r="J200" t="s">
        <v>63</v>
      </c>
    </row>
    <row r="201" spans="1:10" x14ac:dyDescent="0.3">
      <c r="A201" s="1">
        <v>46152</v>
      </c>
      <c r="B201">
        <v>1638.14</v>
      </c>
      <c r="C201" t="s">
        <v>125</v>
      </c>
      <c r="G201" s="1">
        <v>46158</v>
      </c>
      <c r="H201">
        <v>2144.02</v>
      </c>
      <c r="I201" t="s">
        <v>243</v>
      </c>
      <c r="J201" t="s">
        <v>28</v>
      </c>
    </row>
    <row r="202" spans="1:10" x14ac:dyDescent="0.3">
      <c r="A202" s="1">
        <v>46160</v>
      </c>
      <c r="B202">
        <v>2337.85</v>
      </c>
      <c r="C202" t="s">
        <v>51</v>
      </c>
      <c r="G202" s="1">
        <v>46151</v>
      </c>
      <c r="H202">
        <v>2196.9499999999998</v>
      </c>
      <c r="I202" t="s">
        <v>388</v>
      </c>
      <c r="J202" t="s">
        <v>67</v>
      </c>
    </row>
    <row r="203" spans="1:10" x14ac:dyDescent="0.3">
      <c r="A203" s="1">
        <v>46164</v>
      </c>
      <c r="B203">
        <v>2726.37</v>
      </c>
      <c r="C203" t="s">
        <v>130</v>
      </c>
      <c r="G203" s="1">
        <v>46156</v>
      </c>
      <c r="H203">
        <v>2335.02</v>
      </c>
      <c r="I203" t="s">
        <v>210</v>
      </c>
      <c r="J203" t="s">
        <v>55</v>
      </c>
    </row>
    <row r="204" spans="1:10" x14ac:dyDescent="0.3">
      <c r="A204" s="1">
        <v>46153</v>
      </c>
      <c r="B204">
        <v>3132.57</v>
      </c>
      <c r="C204" t="s">
        <v>110</v>
      </c>
      <c r="G204" s="1">
        <v>46166</v>
      </c>
      <c r="H204">
        <v>2427.21</v>
      </c>
      <c r="I204" t="s">
        <v>289</v>
      </c>
      <c r="J204" t="s">
        <v>49</v>
      </c>
    </row>
    <row r="205" spans="1:10" x14ac:dyDescent="0.3">
      <c r="A205" s="1">
        <v>46155</v>
      </c>
      <c r="B205">
        <v>3306.53</v>
      </c>
      <c r="C205" t="s">
        <v>6</v>
      </c>
      <c r="G205" s="1">
        <v>46161</v>
      </c>
      <c r="H205">
        <v>2725.18</v>
      </c>
      <c r="I205" t="s">
        <v>349</v>
      </c>
      <c r="J205" t="s">
        <v>8</v>
      </c>
    </row>
    <row r="206" spans="1:10" x14ac:dyDescent="0.3">
      <c r="A206" s="1">
        <v>46155</v>
      </c>
      <c r="B206">
        <v>3530.06</v>
      </c>
      <c r="C206" t="s">
        <v>48</v>
      </c>
      <c r="G206" s="1">
        <v>46165</v>
      </c>
      <c r="H206">
        <v>3324.88</v>
      </c>
      <c r="I206" t="s">
        <v>246</v>
      </c>
      <c r="J206" t="s">
        <v>29</v>
      </c>
    </row>
    <row r="208" spans="1:10" x14ac:dyDescent="0.3">
      <c r="B208" s="2">
        <f>SUM(B2:B207)</f>
        <v>124196.78000000003</v>
      </c>
      <c r="H208" s="2">
        <f>SUM(H2:H207)</f>
        <v>125223.99</v>
      </c>
    </row>
    <row r="209" spans="8:8" x14ac:dyDescent="0.3">
      <c r="H209" s="3">
        <f>B208-H208</f>
        <v>-1027.2099999999773</v>
      </c>
    </row>
  </sheetData>
  <autoFilter ref="A1:J206" xr:uid="{79488BD9-3546-40C2-8C2D-415C0B5E960D}"/>
  <sortState xmlns:xlrd2="http://schemas.microsoft.com/office/spreadsheetml/2017/richdata2" ref="G2:J206">
    <sortCondition ref="H2:H206"/>
    <sortCondition ref="G2:G2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Fairbanks</dc:creator>
  <cp:lastModifiedBy>Joshua Fairbanks</cp:lastModifiedBy>
  <dcterms:created xsi:type="dcterms:W3CDTF">2026-07-24T21:30:43Z</dcterms:created>
  <dcterms:modified xsi:type="dcterms:W3CDTF">2026-07-24T21:44:24Z</dcterms:modified>
</cp:coreProperties>
</file>